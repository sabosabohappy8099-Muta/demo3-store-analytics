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地域別" sheetId="2" state="visible" r:id="rId2"/>
    <sheet name="店舗別" sheetId="3" state="visible" r:id="rId3"/>
    <sheet name="日別推移" sheetId="4" state="visible" r:id="rId4"/>
  </sheets>
  <definedNames>
    <definedName name="_xlnm._FilterDatabase" localSheetId="2" hidden="1">'店舗別'!$A$4:$K$44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[Red]-0.0%;0.0%"/>
    <numFmt numFmtId="165" formatCode="#,##0,;[Red]-#,##0,"/>
    <numFmt numFmtId="166" formatCode="0.0%"/>
    <numFmt numFmtId="167" formatCode="yyyy-mm-dd"/>
    <numFmt numFmtId="168" formatCode="yyyy/mm/dd"/>
  </numFmts>
  <fonts count="10">
    <font>
      <name val="Calibri"/>
      <family val="2"/>
      <color theme="1"/>
      <sz val="11"/>
      <scheme val="minor"/>
    </font>
    <font>
      <name val="游ゴシック"/>
      <b val="1"/>
      <color rgb="002B2B2B"/>
      <sz val="16"/>
    </font>
    <font>
      <name val="游ゴシック"/>
      <color rgb="006B6A65"/>
      <sz val="10"/>
    </font>
    <font>
      <name val="游ゴシック"/>
      <b val="1"/>
      <color rgb="002B2B2B"/>
      <sz val="12"/>
    </font>
    <font>
      <name val="游ゴシック"/>
      <b val="1"/>
      <color rgb="00FFFFFF"/>
      <sz val="10.5"/>
    </font>
    <font>
      <name val="游ゴシック"/>
      <color rgb="002B2B2B"/>
      <sz val="10.5"/>
    </font>
    <font>
      <name val="游ゴシック"/>
      <b val="1"/>
      <color rgb="002B2B2B"/>
      <sz val="11"/>
    </font>
    <font>
      <name val="游ゴシック"/>
      <color rgb="002B2B2B"/>
      <sz val="11"/>
    </font>
    <font>
      <name val="游ゴシック"/>
      <b val="1"/>
      <color rgb="002B2B2B"/>
      <sz val="10.5"/>
    </font>
    <font>
      <name val="游ゴシック"/>
      <color rgb="006B6A65"/>
      <sz val="9.5"/>
    </font>
  </fonts>
  <fills count="4">
    <fill>
      <patternFill/>
    </fill>
    <fill>
      <patternFill patternType="gray125"/>
    </fill>
    <fill>
      <patternFill patternType="solid">
        <fgColor rgb="00B9832A"/>
      </patternFill>
    </fill>
    <fill>
      <patternFill patternType="solid">
        <fgColor rgb="00FAF6EE"/>
      </patternFill>
    </fill>
  </fills>
  <borders count="3">
    <border>
      <left/>
      <right/>
      <top/>
      <bottom/>
      <diagonal/>
    </border>
    <border>
      <top style="medium">
        <color rgb="00B9832A"/>
      </top>
    </border>
    <border>
      <left style="thin">
        <color rgb="00D9D2C3"/>
      </left>
      <right style="thin">
        <color rgb="00D9D2C3"/>
      </right>
      <top style="thin">
        <color rgb="00D9D2C3"/>
      </top>
      <bottom style="thin">
        <color rgb="00D9D2C3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2" borderId="2" applyAlignment="1" pivotButton="0" quotePrefix="0" xfId="0">
      <alignment horizontal="center" vertical="center" wrapText="1"/>
    </xf>
    <xf numFmtId="0" fontId="5" fillId="0" borderId="2" pivotButton="0" quotePrefix="0" xfId="0"/>
    <xf numFmtId="165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2" pivotButton="0" quotePrefix="0" xfId="0"/>
    <xf numFmtId="3" fontId="8" fillId="3" borderId="2" applyAlignment="1" pivotButton="0" quotePrefix="0" xfId="0">
      <alignment horizontal="right"/>
    </xf>
    <xf numFmtId="165" fontId="8" fillId="3" borderId="2" applyAlignment="1" pivotButton="0" quotePrefix="0" xfId="0">
      <alignment horizontal="right"/>
    </xf>
    <xf numFmtId="164" fontId="8" fillId="3" borderId="2" applyAlignment="1" pivotButton="0" quotePrefix="0" xfId="0">
      <alignment horizontal="right"/>
    </xf>
    <xf numFmtId="166" fontId="8" fillId="3" borderId="2" applyAlignment="1" pivotButton="0" quotePrefix="0" xfId="0">
      <alignment horizontal="right"/>
    </xf>
    <xf numFmtId="0" fontId="9" fillId="0" borderId="0" pivotButton="0" quotePrefix="0" xfId="0"/>
    <xf numFmtId="3" fontId="5" fillId="0" borderId="2" applyAlignment="1" pivotButton="0" quotePrefix="0" xfId="0">
      <alignment horizontal="center"/>
    </xf>
    <xf numFmtId="168" fontId="5" fillId="0" borderId="2" applyAlignment="1" pivotButton="0" quotePrefix="0" xfId="0">
      <alignment horizontal="right"/>
    </xf>
    <xf numFmtId="0" fontId="5" fillId="0" borderId="2" applyAlignment="1" pivotButton="0" quotePrefix="0" xfId="0">
      <alignment horizontal="center"/>
    </xf>
    <xf numFmtId="168" fontId="5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center"/>
    </xf>
    <xf numFmtId="3" fontId="5" fillId="3" borderId="2" applyAlignment="1" pivotButton="0" quotePrefix="0" xfId="0">
      <alignment horizontal="right"/>
    </xf>
    <xf numFmtId="164" fontId="5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日別売上(当月と前年同曜日)</a:t>
            </a:r>
          </a:p>
        </rich>
      </tx>
    </title>
    <plotArea>
      <lineChart>
        <grouping val="standard"/>
        <ser>
          <idx val="0"/>
          <order val="0"/>
          <tx>
            <strRef>
              <f>'日別推移'!C4</f>
            </strRef>
          </tx>
          <spPr>
            <a:ln w="28000">
              <a:solidFill>
                <a:srgbClr val="B983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'日別推移'!$A$5:$A$34</f>
            </numRef>
          </cat>
          <val>
            <numRef>
              <f>'日別推移'!$C$5:$C$34</f>
            </numRef>
          </val>
        </ser>
        <ser>
          <idx val="1"/>
          <order val="1"/>
          <tx>
            <strRef>
              <f>'日別推移'!H4</f>
            </strRef>
          </tx>
          <spPr>
            <a:ln>
              <a:solidFill>
                <a:srgbClr val="A3A29C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'日別推移'!$A$5:$A$34</f>
            </numRef>
          </cat>
          <val>
            <numRef>
              <f>'日別推移'!$H$5:$H$34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/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売上(円)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3" customWidth="1" min="4" max="4"/>
    <col width="15" customWidth="1" min="5" max="5"/>
    <col width="12" customWidth="1" min="6" max="6"/>
    <col width="12" customWidth="1" min="7" max="7"/>
    <col width="10" customWidth="1" min="8" max="8"/>
  </cols>
  <sheetData>
    <row r="1" ht="28" customHeight="1">
      <c r="A1" s="1" t="inlineStr">
        <is>
          <t>月次実績レポート 2026年9月</t>
        </is>
      </c>
    </row>
    <row r="2">
      <c r="A2" s="2" t="inlineStr">
        <is>
          <t>こむぎ堂ホールディングス株式会社(架空)|対象期間 2026/09/01〜2026/09/30(前年同月 2025/09/01〜2025/09/30)|作成日時 2026/10/09 22:58|※ダミーデータによるデモ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4" t="inlineStr">
        <is>
          <t>主要指標</t>
        </is>
      </c>
    </row>
    <row r="5" ht="30" customHeight="1">
      <c r="A5" s="5" t="inlineStr">
        <is>
          <t>指標</t>
        </is>
      </c>
      <c r="B5" s="5" t="inlineStr">
        <is>
          <t>当月</t>
        </is>
      </c>
      <c r="C5" s="5" t="inlineStr">
        <is>
          <t>前年同月</t>
        </is>
      </c>
      <c r="D5" s="5" t="inlineStr">
        <is>
          <t>前年比</t>
        </is>
      </c>
      <c r="E5" s="5" t="inlineStr">
        <is>
          <t>前月</t>
        </is>
      </c>
      <c r="F5" s="5" t="inlineStr">
        <is>
          <t>前月比</t>
        </is>
      </c>
    </row>
    <row r="6">
      <c r="A6" s="6" t="inlineStr">
        <is>
          <t>売上(千円)</t>
        </is>
      </c>
      <c r="B6" s="7" t="n">
        <v>387619010</v>
      </c>
      <c r="C6" s="7" t="n">
        <v>349059520</v>
      </c>
      <c r="D6" s="8" t="n">
        <v>0.1104668052027344</v>
      </c>
      <c r="E6" s="7" t="n">
        <v>369356500</v>
      </c>
      <c r="F6" s="8" t="n">
        <v>0.04944412782772201</v>
      </c>
    </row>
    <row r="7">
      <c r="A7" s="6" t="inlineStr">
        <is>
          <t>客数(人)</t>
        </is>
      </c>
      <c r="B7" s="9" t="n">
        <v>539113</v>
      </c>
      <c r="C7" s="9" t="n">
        <v>488920</v>
      </c>
      <c r="D7" s="8" t="n">
        <v>0.1026609670293708</v>
      </c>
      <c r="E7" s="9" t="n">
        <v>511982</v>
      </c>
      <c r="F7" s="8" t="n">
        <v>0.05299209737842348</v>
      </c>
    </row>
    <row r="8">
      <c r="A8" s="6" t="inlineStr">
        <is>
          <t>客単価(円)</t>
        </is>
      </c>
      <c r="B8" s="9" t="n">
        <v>718.9939956929252</v>
      </c>
      <c r="C8" s="9" t="n">
        <v>713.9399492759552</v>
      </c>
      <c r="D8" s="8" t="n">
        <v>0.007079091766885481</v>
      </c>
      <c r="E8" s="9" t="n">
        <v>721.4247766523042</v>
      </c>
      <c r="F8" s="8" t="n">
        <v>-0.003369417073057601</v>
      </c>
    </row>
    <row r="9">
      <c r="A9" s="6" t="inlineStr">
        <is>
          <t>営業店舗数(店)</t>
        </is>
      </c>
      <c r="B9" s="9" t="n">
        <v>40</v>
      </c>
      <c r="C9" s="9" t="n">
        <v>37</v>
      </c>
      <c r="D9" s="8" t="n"/>
      <c r="E9" s="9" t="n">
        <v>40</v>
      </c>
      <c r="F9" s="8" t="n"/>
    </row>
    <row r="10">
      <c r="A10" s="6" t="inlineStr">
        <is>
          <t>店舗あたり売上(千円)</t>
        </is>
      </c>
      <c r="B10" s="7" t="n">
        <v>9690475.25</v>
      </c>
      <c r="C10" s="7" t="n">
        <v>9434041.081081081</v>
      </c>
      <c r="D10" s="8" t="n">
        <v>0.02718179481252947</v>
      </c>
      <c r="E10" s="7" t="n">
        <v>9233912.5</v>
      </c>
      <c r="F10" s="8" t="n">
        <v>0.04944412782772201</v>
      </c>
    </row>
    <row r="11">
      <c r="A11" s="6" t="inlineStr">
        <is>
          <t>既存店売上(千円・37店)</t>
        </is>
      </c>
      <c r="B11" s="7" t="n">
        <v>359954910</v>
      </c>
      <c r="C11" s="7" t="n">
        <v>349059520</v>
      </c>
      <c r="D11" s="8" t="n">
        <v>0.03121355922336688</v>
      </c>
      <c r="E11" s="7" t="n">
        <v>342515090</v>
      </c>
      <c r="F11" s="8" t="n">
        <v>0.05091693916317674</v>
      </c>
    </row>
    <row r="12">
      <c r="A12" s="6" t="inlineStr">
        <is>
          <t>モバイルオーダー比率</t>
        </is>
      </c>
      <c r="B12" s="10" t="n">
        <v>0.1913</v>
      </c>
      <c r="C12" s="10" t="n">
        <v>0.1401</v>
      </c>
      <c r="D12" s="11" t="inlineStr">
        <is>
          <t>+5.1pt</t>
        </is>
      </c>
    </row>
    <row r="14">
      <c r="A14" s="4" t="inlineStr">
        <is>
          <t>業態別</t>
        </is>
      </c>
    </row>
    <row r="15" ht="30" customHeight="1">
      <c r="A15" s="5" t="inlineStr">
        <is>
          <t>業態</t>
        </is>
      </c>
      <c r="B15" s="5" t="inlineStr">
        <is>
          <t>店舗数</t>
        </is>
      </c>
      <c r="C15" s="5" t="inlineStr">
        <is>
          <t>売上(千円)</t>
        </is>
      </c>
      <c r="D15" s="5" t="inlineStr">
        <is>
          <t>前年比(全店)</t>
        </is>
      </c>
      <c r="E15" s="5" t="inlineStr">
        <is>
          <t>前年比(既存店)</t>
        </is>
      </c>
      <c r="F15" s="5" t="inlineStr">
        <is>
          <t>客数(人)</t>
        </is>
      </c>
      <c r="G15" s="5" t="inlineStr">
        <is>
          <t>客単価(円)</t>
        </is>
      </c>
      <c r="H15" s="5" t="inlineStr">
        <is>
          <t>構成比</t>
        </is>
      </c>
    </row>
    <row r="16">
      <c r="A16" s="6" t="inlineStr">
        <is>
          <t>駅ナカ型</t>
        </is>
      </c>
      <c r="B16" s="9" t="n">
        <v>16</v>
      </c>
      <c r="C16" s="7" t="n">
        <v>181381500</v>
      </c>
      <c r="D16" s="8" t="n">
        <v>0.04563238502750733</v>
      </c>
      <c r="E16" s="8" t="n">
        <v>0.04563238502750733</v>
      </c>
      <c r="F16" s="9" t="n">
        <v>294966</v>
      </c>
      <c r="G16" s="9" t="n">
        <v>614.9234149020565</v>
      </c>
      <c r="H16" s="10" t="n">
        <v>0.4679375761266198</v>
      </c>
    </row>
    <row r="17">
      <c r="A17" s="6" t="inlineStr">
        <is>
          <t>ロードサイド型</t>
        </is>
      </c>
      <c r="B17" s="9" t="n">
        <v>11</v>
      </c>
      <c r="C17" s="7" t="n">
        <v>85188260</v>
      </c>
      <c r="D17" s="8" t="n">
        <v>0.1292059938349051</v>
      </c>
      <c r="E17" s="8" t="n">
        <v>-0.006368565571570284</v>
      </c>
      <c r="F17" s="9" t="n">
        <v>89282</v>
      </c>
      <c r="G17" s="9" t="n">
        <v>954.1482045653099</v>
      </c>
      <c r="H17" s="10" t="n">
        <v>0.2197731736634898</v>
      </c>
    </row>
    <row r="18">
      <c r="A18" s="6" t="inlineStr">
        <is>
          <t>商業施設型</t>
        </is>
      </c>
      <c r="B18" s="9" t="n">
        <v>13</v>
      </c>
      <c r="C18" s="7" t="n">
        <v>121049250</v>
      </c>
      <c r="D18" s="8" t="n">
        <v>0.2086453273462168</v>
      </c>
      <c r="E18" s="8" t="n">
        <v>0.03454899876518724</v>
      </c>
      <c r="F18" s="9" t="n">
        <v>154865</v>
      </c>
      <c r="G18" s="9" t="n">
        <v>781.6436896651923</v>
      </c>
      <c r="H18" s="10" t="n">
        <v>0.3122892502098904</v>
      </c>
    </row>
    <row r="20">
      <c r="A20" s="4" t="inlineStr">
        <is>
          <t>チャネル別</t>
        </is>
      </c>
    </row>
    <row r="21" ht="30" customHeight="1">
      <c r="A21" s="5" t="inlineStr">
        <is>
          <t>チャネル</t>
        </is>
      </c>
      <c r="B21" s="5" t="inlineStr">
        <is>
          <t>売上(千円)</t>
        </is>
      </c>
      <c r="C21" s="5" t="inlineStr">
        <is>
          <t>前年比</t>
        </is>
      </c>
      <c r="D21" s="5" t="inlineStr">
        <is>
          <t>構成比</t>
        </is>
      </c>
    </row>
    <row r="22">
      <c r="A22" s="6" t="inlineStr">
        <is>
          <t>テイクアウト</t>
        </is>
      </c>
      <c r="B22" s="7" t="n">
        <v>205128610</v>
      </c>
      <c r="C22" s="8" t="n">
        <v>0.02972705045480883</v>
      </c>
      <c r="D22" s="10" t="n">
        <v>0.5292016250699366</v>
      </c>
    </row>
    <row r="23">
      <c r="A23" s="6" t="inlineStr">
        <is>
          <t>店内飲食</t>
        </is>
      </c>
      <c r="B23" s="7" t="n">
        <v>108346800</v>
      </c>
      <c r="C23" s="8" t="n">
        <v>0.07318506268487246</v>
      </c>
      <c r="D23" s="10" t="n">
        <v>0.2795187986265173</v>
      </c>
    </row>
    <row r="24">
      <c r="A24" s="6" t="inlineStr">
        <is>
          <t>モバイルオーダー</t>
        </is>
      </c>
      <c r="B24" s="7" t="n">
        <v>74143600</v>
      </c>
      <c r="C24" s="8" t="n">
        <v>0.5163974240902416</v>
      </c>
      <c r="D24" s="10" t="n">
        <v>0.1912795763035461</v>
      </c>
    </row>
    <row r="26">
      <c r="A26" s="4" t="inlineStr">
        <is>
          <t>所見コメント(自動生成:ルールベース)</t>
        </is>
      </c>
    </row>
    <row r="27" ht="34" customHeight="1">
      <c r="A27" s="12" t="inlineStr">
        <is>
          <t>2026年9月の売上は3億8,762万円(前年比+11.1%)で、増収でした。新店を除く既存店ベースでは前年比+3.1%です。</t>
        </is>
      </c>
    </row>
    <row r="28" ht="20" customHeight="1">
      <c r="A28" s="13" t="inlineStr">
        <is>
          <t>・客数は539,113人(前年比+10.3%)、客単価は719円(前年比+0.7%)。売上の変化は主に客数によるものです。</t>
        </is>
      </c>
    </row>
    <row r="29" ht="20" customHeight="1">
      <c r="A29" s="13" t="inlineStr">
        <is>
          <t>・既存店ベースの都道府県別では神奈川県が前年比+7.2%で最も伸び、千葉県は前年比-0.5%にとどまりました。</t>
        </is>
      </c>
    </row>
    <row r="30" ht="34" customHeight="1">
      <c r="A30" s="13" t="inlineStr">
        <is>
          <t>・市区町村別(既存店)の伸び上位は横浜市都筑区(+17.6%)、横浜市港北区(+12.3%)、横浜市西区(+8.3%)、下位は熊谷市(-9.8%)、市原市(-9.6%)、春日部市(-7.8%)です。</t>
        </is>
      </c>
    </row>
    <row r="31" ht="20" customHeight="1">
      <c r="A31" s="13" t="inlineStr">
        <is>
          <t>・急増した店舗:こむぎ堂 センター北店(+17.6%)。</t>
        </is>
      </c>
    </row>
    <row r="32" ht="34" customHeight="1">
      <c r="A32" s="13" t="inlineStr">
        <is>
          <t>・急減した店舗:こむぎ堂 熊谷店(-9.8%)、こむぎ堂 市原店(-9.6%)。要因(競合・立地環境・オペレーション)の確認をおすすめします。</t>
        </is>
      </c>
    </row>
    <row r="33" ht="20" customHeight="1">
      <c r="A33" s="13" t="inlineStr">
        <is>
          <t>・業態別(既存店)では駅ナカ型が前年比+4.6%で最も好調でした。</t>
        </is>
      </c>
    </row>
    <row r="34" ht="20" customHeight="1">
      <c r="A34" s="13" t="inlineStr">
        <is>
          <t>・モバイルオーダー比率は19.1%(前年同月14.0%、+5.1ポイント)と拡大が続いています。</t>
        </is>
      </c>
    </row>
    <row r="35" ht="34" customHeight="1">
      <c r="A35" s="13" t="inlineStr">
        <is>
          <t>・直近1年の新店:こむぎ堂 海老名店(2025/11/15開店)、こむぎ堂 千葉ニュータウン店(2026/04/10開店)、こむぎ堂 二子玉川店(2026/06/01開店)。既存店の前年比には含めていませんが、全体の売上を押し上げています。</t>
        </is>
      </c>
    </row>
  </sheetData>
  <mergeCells count="9">
    <mergeCell ref="A30:H30"/>
    <mergeCell ref="A29:H29"/>
    <mergeCell ref="A35:H35"/>
    <mergeCell ref="A28:H28"/>
    <mergeCell ref="A33:H33"/>
    <mergeCell ref="A32:H32"/>
    <mergeCell ref="A27:H27"/>
    <mergeCell ref="A31:H31"/>
    <mergeCell ref="A34:H34"/>
  </mergeCells>
  <printOptions horizontalCentered="1"/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14" customWidth="1" min="4" max="4"/>
    <col width="15" customWidth="1" min="5" max="5"/>
    <col width="12" customWidth="1" min="6" max="6"/>
    <col width="13" customWidth="1" min="7" max="7"/>
    <col width="12" customWidth="1" min="8" max="8"/>
    <col width="11" customWidth="1" min="9" max="9"/>
    <col width="9" customWidth="1" min="10" max="10"/>
  </cols>
  <sheetData>
    <row r="1" ht="28" customHeight="1">
      <c r="A1" s="1" t="inlineStr">
        <is>
          <t>都道府県・市区町村別の実績 2026年9月</t>
        </is>
      </c>
    </row>
    <row r="2">
      <c r="A2" s="2" t="inlineStr">
        <is>
          <t>こむぎ堂ホールディングス株式会社(架空)|対象期間 2026/09/01〜2026/09/30(前年同月 2025/09/01〜2025/09/30)|作成日時 2026/10/09 22:58|※ダミーデータによるデモ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 ht="30" customHeight="1">
      <c r="A4" s="5" t="inlineStr">
        <is>
          <t>都道府県</t>
        </is>
      </c>
      <c r="B4" s="5" t="inlineStr">
        <is>
          <t>市区町村</t>
        </is>
      </c>
      <c r="C4" s="5" t="inlineStr">
        <is>
          <t>店舗数</t>
        </is>
      </c>
      <c r="D4" s="5" t="inlineStr">
        <is>
          <t>売上(千円)</t>
        </is>
      </c>
      <c r="E4" s="5" t="inlineStr">
        <is>
          <t>前年同月(千円)</t>
        </is>
      </c>
      <c r="F4" s="5" t="inlineStr">
        <is>
          <t>前年比(全店)</t>
        </is>
      </c>
      <c r="G4" s="5" t="inlineStr">
        <is>
          <t>前年比(既存店)</t>
        </is>
      </c>
      <c r="H4" s="5" t="inlineStr">
        <is>
          <t>客数(人)</t>
        </is>
      </c>
      <c r="I4" s="5" t="inlineStr">
        <is>
          <t>客単価(円)</t>
        </is>
      </c>
      <c r="J4" s="5" t="inlineStr">
        <is>
          <t>構成比</t>
        </is>
      </c>
    </row>
    <row r="5">
      <c r="A5" s="14" t="inlineStr">
        <is>
          <t>東京都</t>
        </is>
      </c>
      <c r="B5" s="14" t="inlineStr">
        <is>
          <t>(小計)</t>
        </is>
      </c>
      <c r="C5" s="15" t="n">
        <v>14</v>
      </c>
      <c r="D5" s="16" t="n">
        <v>135111240</v>
      </c>
      <c r="E5" s="16" t="n">
        <v>124348850</v>
      </c>
      <c r="F5" s="17" t="n">
        <v>0.08654997613568605</v>
      </c>
      <c r="G5" s="17" t="n">
        <v>0.02127064303369108</v>
      </c>
      <c r="H5" s="15" t="n">
        <v>188829</v>
      </c>
      <c r="I5" s="15" t="n">
        <v>715.5216624565082</v>
      </c>
      <c r="J5" s="18" t="n">
        <v>0.3485671149100762</v>
      </c>
    </row>
    <row r="6">
      <c r="A6" s="6" t="inlineStr">
        <is>
          <t>東京都</t>
        </is>
      </c>
      <c r="B6" s="6" t="inlineStr">
        <is>
          <t>港区</t>
        </is>
      </c>
      <c r="C6" s="9" t="n">
        <v>1</v>
      </c>
      <c r="D6" s="7" t="n">
        <v>14348500</v>
      </c>
      <c r="E6" s="7" t="n">
        <v>13563660</v>
      </c>
      <c r="F6" s="8" t="n">
        <v>0.05786343803958527</v>
      </c>
      <c r="G6" s="8" t="n">
        <v>0.05786343803958527</v>
      </c>
      <c r="H6" s="9" t="n">
        <v>23338</v>
      </c>
      <c r="I6" s="9" t="n">
        <v>614.8127517353672</v>
      </c>
      <c r="J6" s="10" t="n">
        <v>0.03701701833457549</v>
      </c>
    </row>
    <row r="7">
      <c r="A7" s="6" t="inlineStr">
        <is>
          <t>東京都</t>
        </is>
      </c>
      <c r="B7" s="6" t="inlineStr">
        <is>
          <t>墨田区</t>
        </is>
      </c>
      <c r="C7" s="9" t="n">
        <v>1</v>
      </c>
      <c r="D7" s="7" t="n">
        <v>12765540</v>
      </c>
      <c r="E7" s="7" t="n">
        <v>12557370</v>
      </c>
      <c r="F7" s="8" t="n">
        <v>0.01657751583333145</v>
      </c>
      <c r="G7" s="8" t="n">
        <v>0.01657751583333145</v>
      </c>
      <c r="H7" s="9" t="n">
        <v>15797</v>
      </c>
      <c r="I7" s="9" t="n">
        <v>808.0990061404065</v>
      </c>
      <c r="J7" s="10" t="n">
        <v>0.03293321449843237</v>
      </c>
    </row>
    <row r="8">
      <c r="A8" s="6" t="inlineStr">
        <is>
          <t>東京都</t>
        </is>
      </c>
      <c r="B8" s="6" t="inlineStr">
        <is>
          <t>新宿区</t>
        </is>
      </c>
      <c r="C8" s="9" t="n">
        <v>1</v>
      </c>
      <c r="D8" s="7" t="n">
        <v>12687410</v>
      </c>
      <c r="E8" s="7" t="n">
        <v>12005550</v>
      </c>
      <c r="F8" s="8" t="n">
        <v>0.05679539879472406</v>
      </c>
      <c r="G8" s="8" t="n">
        <v>0.05679539879472406</v>
      </c>
      <c r="H8" s="9" t="n">
        <v>18785</v>
      </c>
      <c r="I8" s="9" t="n">
        <v>675.4011179132286</v>
      </c>
      <c r="J8" s="10" t="n">
        <v>0.03273165059680638</v>
      </c>
    </row>
    <row r="9">
      <c r="A9" s="6" t="inlineStr">
        <is>
          <t>東京都</t>
        </is>
      </c>
      <c r="B9" s="6" t="inlineStr">
        <is>
          <t>渋谷区</t>
        </is>
      </c>
      <c r="C9" s="9" t="n">
        <v>1</v>
      </c>
      <c r="D9" s="7" t="n">
        <v>12301020</v>
      </c>
      <c r="E9" s="7" t="n">
        <v>11376940</v>
      </c>
      <c r="F9" s="8" t="n">
        <v>0.08122394949784395</v>
      </c>
      <c r="G9" s="8" t="n">
        <v>0.08122394949784395</v>
      </c>
      <c r="H9" s="9" t="n">
        <v>18669</v>
      </c>
      <c r="I9" s="9" t="n">
        <v>658.9008516792544</v>
      </c>
      <c r="J9" s="10" t="n">
        <v>0.03173482126173327</v>
      </c>
    </row>
    <row r="10">
      <c r="A10" s="6" t="inlineStr">
        <is>
          <t>東京都</t>
        </is>
      </c>
      <c r="B10" s="6" t="inlineStr">
        <is>
          <t>豊島区</t>
        </is>
      </c>
      <c r="C10" s="9" t="n">
        <v>1</v>
      </c>
      <c r="D10" s="7" t="n">
        <v>10352290</v>
      </c>
      <c r="E10" s="7" t="n">
        <v>10975950</v>
      </c>
      <c r="F10" s="8" t="n">
        <v>-0.05682059411713791</v>
      </c>
      <c r="G10" s="8" t="n">
        <v>-0.05682059411713791</v>
      </c>
      <c r="H10" s="9" t="n">
        <v>16261</v>
      </c>
      <c r="I10" s="9" t="n">
        <v>636.6330483980075</v>
      </c>
      <c r="J10" s="10" t="n">
        <v>0.0267073846558764</v>
      </c>
    </row>
    <row r="11">
      <c r="A11" s="6" t="inlineStr">
        <is>
          <t>東京都</t>
        </is>
      </c>
      <c r="B11" s="6" t="inlineStr">
        <is>
          <t>町田市</t>
        </is>
      </c>
      <c r="C11" s="9" t="n">
        <v>1</v>
      </c>
      <c r="D11" s="7" t="n">
        <v>9993360</v>
      </c>
      <c r="E11" s="7" t="n">
        <v>10144420</v>
      </c>
      <c r="F11" s="8" t="n">
        <v>-0.01489094497270416</v>
      </c>
      <c r="G11" s="8" t="n">
        <v>-0.01489094497270416</v>
      </c>
      <c r="H11" s="9" t="n">
        <v>14068</v>
      </c>
      <c r="I11" s="9" t="n">
        <v>710.3611032129656</v>
      </c>
      <c r="J11" s="10" t="n">
        <v>0.02578139807952144</v>
      </c>
    </row>
    <row r="12">
      <c r="A12" s="6" t="inlineStr">
        <is>
          <t>東京都</t>
        </is>
      </c>
      <c r="B12" s="6" t="inlineStr">
        <is>
          <t>練馬区</t>
        </is>
      </c>
      <c r="C12" s="9" t="n">
        <v>1</v>
      </c>
      <c r="D12" s="7" t="n">
        <v>9402280</v>
      </c>
      <c r="E12" s="7" t="n">
        <v>9544250</v>
      </c>
      <c r="F12" s="8" t="n">
        <v>-0.01487492469287788</v>
      </c>
      <c r="G12" s="8" t="n">
        <v>-0.01487492469287788</v>
      </c>
      <c r="H12" s="9" t="n">
        <v>9492</v>
      </c>
      <c r="I12" s="9" t="n">
        <v>990.5478297513696</v>
      </c>
      <c r="J12" s="10" t="n">
        <v>0.02425649866862825</v>
      </c>
    </row>
    <row r="13">
      <c r="A13" s="6" t="inlineStr">
        <is>
          <t>東京都</t>
        </is>
      </c>
      <c r="B13" s="6" t="inlineStr">
        <is>
          <t>大田区</t>
        </is>
      </c>
      <c r="C13" s="9" t="n">
        <v>1</v>
      </c>
      <c r="D13" s="7" t="n">
        <v>9131370</v>
      </c>
      <c r="E13" s="7" t="n">
        <v>9011600</v>
      </c>
      <c r="F13" s="8" t="n">
        <v>0.01329064760974741</v>
      </c>
      <c r="G13" s="8" t="n">
        <v>0.01329064760974741</v>
      </c>
      <c r="H13" s="9" t="n">
        <v>15238</v>
      </c>
      <c r="I13" s="9" t="n">
        <v>599.2499015618847</v>
      </c>
      <c r="J13" s="10" t="n">
        <v>0.02355759073839025</v>
      </c>
    </row>
    <row r="14">
      <c r="A14" s="6" t="inlineStr">
        <is>
          <t>東京都</t>
        </is>
      </c>
      <c r="B14" s="6" t="inlineStr">
        <is>
          <t>武蔵野市</t>
        </is>
      </c>
      <c r="C14" s="9" t="n">
        <v>1</v>
      </c>
      <c r="D14" s="7" t="n">
        <v>8524100</v>
      </c>
      <c r="E14" s="7" t="n">
        <v>8342440</v>
      </c>
      <c r="F14" s="8" t="n">
        <v>0.02177540383868504</v>
      </c>
      <c r="G14" s="8" t="n">
        <v>0.02177540383868504</v>
      </c>
      <c r="H14" s="9" t="n">
        <v>10264</v>
      </c>
      <c r="I14" s="9" t="n">
        <v>830.4851909586906</v>
      </c>
      <c r="J14" s="10" t="n">
        <v>0.02199092351017562</v>
      </c>
    </row>
    <row r="15">
      <c r="A15" s="6" t="inlineStr">
        <is>
          <t>東京都</t>
        </is>
      </c>
      <c r="B15" s="6" t="inlineStr">
        <is>
          <t>立川市</t>
        </is>
      </c>
      <c r="C15" s="9" t="n">
        <v>1</v>
      </c>
      <c r="D15" s="7" t="n">
        <v>8257160</v>
      </c>
      <c r="E15" s="7" t="n">
        <v>8049490</v>
      </c>
      <c r="F15" s="8" t="n">
        <v>0.0257991500082615</v>
      </c>
      <c r="G15" s="8" t="n">
        <v>0.0257991500082615</v>
      </c>
      <c r="H15" s="9" t="n">
        <v>11214</v>
      </c>
      <c r="I15" s="9" t="n">
        <v>736.3260210451222</v>
      </c>
      <c r="J15" s="10" t="n">
        <v>0.02130225759567365</v>
      </c>
    </row>
    <row r="16">
      <c r="A16" s="6" t="inlineStr">
        <is>
          <t>東京都</t>
        </is>
      </c>
      <c r="B16" s="6" t="inlineStr">
        <is>
          <t>足立区</t>
        </is>
      </c>
      <c r="C16" s="9" t="n">
        <v>1</v>
      </c>
      <c r="D16" s="7" t="n">
        <v>8122920</v>
      </c>
      <c r="E16" s="7" t="n">
        <v>7660270</v>
      </c>
      <c r="F16" s="8" t="n">
        <v>0.06039604348149608</v>
      </c>
      <c r="G16" s="8" t="n">
        <v>0.06039604348149608</v>
      </c>
      <c r="H16" s="9" t="n">
        <v>13888</v>
      </c>
      <c r="I16" s="9" t="n">
        <v>584.8876728110599</v>
      </c>
      <c r="J16" s="10" t="n">
        <v>0.02095593815174338</v>
      </c>
    </row>
    <row r="17">
      <c r="A17" s="6" t="inlineStr">
        <is>
          <t>東京都</t>
        </is>
      </c>
      <c r="B17" s="6" t="inlineStr">
        <is>
          <t>世田谷区</t>
        </is>
      </c>
      <c r="C17" s="9" t="n">
        <v>1</v>
      </c>
      <c r="D17" s="7" t="n">
        <v>8117410</v>
      </c>
      <c r="E17" s="7" t="n"/>
      <c r="F17" s="8" t="n"/>
      <c r="G17" s="8" t="n"/>
      <c r="H17" s="9" t="n">
        <v>10837</v>
      </c>
      <c r="I17" s="9" t="n">
        <v>749.0458614007566</v>
      </c>
      <c r="J17" s="10" t="n">
        <v>0.02094172316264881</v>
      </c>
    </row>
    <row r="18">
      <c r="A18" s="6" t="inlineStr">
        <is>
          <t>東京都</t>
        </is>
      </c>
      <c r="B18" s="6" t="inlineStr">
        <is>
          <t>八王子市</t>
        </is>
      </c>
      <c r="C18" s="9" t="n">
        <v>1</v>
      </c>
      <c r="D18" s="7" t="n">
        <v>5811280</v>
      </c>
      <c r="E18" s="7" t="n">
        <v>5613750</v>
      </c>
      <c r="F18" s="8" t="n">
        <v>0.03518681808060564</v>
      </c>
      <c r="G18" s="8" t="n">
        <v>0.03518681808060564</v>
      </c>
      <c r="H18" s="9" t="n">
        <v>5606</v>
      </c>
      <c r="I18" s="9" t="n">
        <v>1036.617909382804</v>
      </c>
      <c r="J18" s="10" t="n">
        <v>0.01499224715526723</v>
      </c>
    </row>
    <row r="19">
      <c r="A19" s="6" t="inlineStr">
        <is>
          <t>東京都</t>
        </is>
      </c>
      <c r="B19" s="6" t="inlineStr">
        <is>
          <t>府中市</t>
        </is>
      </c>
      <c r="C19" s="9" t="n">
        <v>1</v>
      </c>
      <c r="D19" s="7" t="n">
        <v>5296600</v>
      </c>
      <c r="E19" s="7" t="n">
        <v>5503160</v>
      </c>
      <c r="F19" s="8" t="n">
        <v>-0.037534798188677</v>
      </c>
      <c r="G19" s="8" t="n">
        <v>-0.037534798188677</v>
      </c>
      <c r="H19" s="9" t="n">
        <v>5372</v>
      </c>
      <c r="I19" s="9" t="n">
        <v>985.9642591213701</v>
      </c>
      <c r="J19" s="10" t="n">
        <v>0.01366444850060372</v>
      </c>
    </row>
    <row r="20">
      <c r="A20" s="14" t="inlineStr">
        <is>
          <t>神奈川県</t>
        </is>
      </c>
      <c r="B20" s="14" t="inlineStr">
        <is>
          <t>(小計)</t>
        </is>
      </c>
      <c r="C20" s="15" t="n">
        <v>11</v>
      </c>
      <c r="D20" s="16" t="n">
        <v>109925410</v>
      </c>
      <c r="E20" s="16" t="n">
        <v>93814040</v>
      </c>
      <c r="F20" s="17" t="n">
        <v>0.1717373007281213</v>
      </c>
      <c r="G20" s="17" t="n">
        <v>0.07240430110461071</v>
      </c>
      <c r="H20" s="15" t="n">
        <v>153635</v>
      </c>
      <c r="I20" s="15" t="n">
        <v>715.4971848862564</v>
      </c>
      <c r="J20" s="18" t="n">
        <v>0.283591380102849</v>
      </c>
    </row>
    <row r="21">
      <c r="A21" s="6" t="inlineStr">
        <is>
          <t>神奈川県</t>
        </is>
      </c>
      <c r="B21" s="6" t="inlineStr">
        <is>
          <t>横浜市西区</t>
        </is>
      </c>
      <c r="C21" s="9" t="n">
        <v>2</v>
      </c>
      <c r="D21" s="7" t="n">
        <v>17631210</v>
      </c>
      <c r="E21" s="7" t="n">
        <v>16274230</v>
      </c>
      <c r="F21" s="8" t="n">
        <v>0.08338213236509495</v>
      </c>
      <c r="G21" s="8" t="n">
        <v>0.08338213236509495</v>
      </c>
      <c r="H21" s="9" t="n">
        <v>26308</v>
      </c>
      <c r="I21" s="9" t="n">
        <v>670.1843545689524</v>
      </c>
      <c r="J21" s="10" t="n">
        <v>0.04548592701890446</v>
      </c>
    </row>
    <row r="22">
      <c r="A22" s="6" t="inlineStr">
        <is>
          <t>神奈川県</t>
        </is>
      </c>
      <c r="B22" s="6" t="inlineStr">
        <is>
          <t>横浜市港北区</t>
        </is>
      </c>
      <c r="C22" s="9" t="n">
        <v>1</v>
      </c>
      <c r="D22" s="7" t="n">
        <v>13943020</v>
      </c>
      <c r="E22" s="7" t="n">
        <v>12410290</v>
      </c>
      <c r="F22" s="8" t="n">
        <v>0.1235047690263482</v>
      </c>
      <c r="G22" s="8" t="n">
        <v>0.1235047690263482</v>
      </c>
      <c r="H22" s="9" t="n">
        <v>24460</v>
      </c>
      <c r="I22" s="9" t="n">
        <v>570.0335241210139</v>
      </c>
      <c r="J22" s="10" t="n">
        <v>0.03597093960897325</v>
      </c>
    </row>
    <row r="23">
      <c r="A23" s="6" t="inlineStr">
        <is>
          <t>神奈川県</t>
        </is>
      </c>
      <c r="B23" s="6" t="inlineStr">
        <is>
          <t>川崎市中原区</t>
        </is>
      </c>
      <c r="C23" s="9" t="n">
        <v>1</v>
      </c>
      <c r="D23" s="7" t="n">
        <v>12231520</v>
      </c>
      <c r="E23" s="7" t="n">
        <v>11418230</v>
      </c>
      <c r="F23" s="8" t="n">
        <v>0.07122732682736288</v>
      </c>
      <c r="G23" s="8" t="n">
        <v>0.07122732682736288</v>
      </c>
      <c r="H23" s="9" t="n">
        <v>19642</v>
      </c>
      <c r="I23" s="9" t="n">
        <v>622.7227369921596</v>
      </c>
      <c r="J23" s="10" t="n">
        <v>0.03155552149003218</v>
      </c>
    </row>
    <row r="24">
      <c r="A24" s="6" t="inlineStr">
        <is>
          <t>神奈川県</t>
        </is>
      </c>
      <c r="B24" s="6" t="inlineStr">
        <is>
          <t>横浜市都筑区</t>
        </is>
      </c>
      <c r="C24" s="9" t="n">
        <v>1</v>
      </c>
      <c r="D24" s="7" t="n">
        <v>10136710</v>
      </c>
      <c r="E24" s="7" t="n">
        <v>8622460</v>
      </c>
      <c r="F24" s="8" t="n">
        <v>0.1756169353061656</v>
      </c>
      <c r="G24" s="8" t="n">
        <v>0.1756169353061656</v>
      </c>
      <c r="H24" s="9" t="n">
        <v>13147</v>
      </c>
      <c r="I24" s="9" t="n">
        <v>771.0283714915951</v>
      </c>
      <c r="J24" s="10" t="n">
        <v>0.02615121998273511</v>
      </c>
    </row>
    <row r="25">
      <c r="A25" s="6" t="inlineStr">
        <is>
          <t>神奈川県</t>
        </is>
      </c>
      <c r="B25" s="6" t="inlineStr">
        <is>
          <t>平塚市</t>
        </is>
      </c>
      <c r="C25" s="9" t="n">
        <v>1</v>
      </c>
      <c r="D25" s="7" t="n">
        <v>10077100</v>
      </c>
      <c r="E25" s="7" t="n">
        <v>9785450</v>
      </c>
      <c r="F25" s="8" t="n">
        <v>0.02980445457286063</v>
      </c>
      <c r="G25" s="8" t="n">
        <v>0.02980445457286063</v>
      </c>
      <c r="H25" s="9" t="n">
        <v>10692</v>
      </c>
      <c r="I25" s="9" t="n">
        <v>942.4897119341564</v>
      </c>
      <c r="J25" s="10" t="n">
        <v>0.02599743495552501</v>
      </c>
    </row>
    <row r="26">
      <c r="A26" s="6" t="inlineStr">
        <is>
          <t>神奈川県</t>
        </is>
      </c>
      <c r="B26" s="6" t="inlineStr">
        <is>
          <t>藤沢市</t>
        </is>
      </c>
      <c r="C26" s="9" t="n">
        <v>1</v>
      </c>
      <c r="D26" s="7" t="n">
        <v>9726380</v>
      </c>
      <c r="E26" s="7" t="n">
        <v>9571340</v>
      </c>
      <c r="F26" s="8" t="n">
        <v>0.01619835885048482</v>
      </c>
      <c r="G26" s="8" t="n">
        <v>0.01619835885048482</v>
      </c>
      <c r="H26" s="9" t="n">
        <v>15153</v>
      </c>
      <c r="I26" s="9" t="n">
        <v>641.878175938758</v>
      </c>
      <c r="J26" s="10" t="n">
        <v>0.02509262897090625</v>
      </c>
    </row>
    <row r="27">
      <c r="A27" s="6" t="inlineStr">
        <is>
          <t>神奈川県</t>
        </is>
      </c>
      <c r="B27" s="6" t="inlineStr">
        <is>
          <t>川崎市川崎区</t>
        </is>
      </c>
      <c r="C27" s="9" t="n">
        <v>1</v>
      </c>
      <c r="D27" s="7" t="n">
        <v>9348730</v>
      </c>
      <c r="E27" s="7" t="n">
        <v>9403070</v>
      </c>
      <c r="F27" s="8" t="n">
        <v>-0.005778963678883642</v>
      </c>
      <c r="G27" s="8" t="n">
        <v>-0.005778963678883642</v>
      </c>
      <c r="H27" s="9" t="n">
        <v>12176</v>
      </c>
      <c r="I27" s="9" t="n">
        <v>767.7997700394218</v>
      </c>
      <c r="J27" s="10" t="n">
        <v>0.02411834754956936</v>
      </c>
    </row>
    <row r="28">
      <c r="A28" s="6" t="inlineStr">
        <is>
          <t>神奈川県</t>
        </is>
      </c>
      <c r="B28" s="6" t="inlineStr">
        <is>
          <t>海老名市</t>
        </is>
      </c>
      <c r="C28" s="9" t="n">
        <v>1</v>
      </c>
      <c r="D28" s="7" t="n">
        <v>9318830</v>
      </c>
      <c r="E28" s="7" t="n"/>
      <c r="F28" s="8" t="n"/>
      <c r="G28" s="8" t="n"/>
      <c r="H28" s="9" t="n">
        <v>12666</v>
      </c>
      <c r="I28" s="9" t="n">
        <v>735.7358282014843</v>
      </c>
      <c r="J28" s="10" t="n">
        <v>0.02404120994994544</v>
      </c>
    </row>
    <row r="29">
      <c r="A29" s="6" t="inlineStr">
        <is>
          <t>神奈川県</t>
        </is>
      </c>
      <c r="B29" s="6" t="inlineStr">
        <is>
          <t>相模原市中央区</t>
        </is>
      </c>
      <c r="C29" s="9" t="n">
        <v>1</v>
      </c>
      <c r="D29" s="7" t="n">
        <v>8819190</v>
      </c>
      <c r="E29" s="7" t="n">
        <v>8183910</v>
      </c>
      <c r="F29" s="8" t="n">
        <v>0.07762548708380224</v>
      </c>
      <c r="G29" s="8" t="n">
        <v>0.07762548708380224</v>
      </c>
      <c r="H29" s="9" t="n">
        <v>9547</v>
      </c>
      <c r="I29" s="9" t="n">
        <v>923.7655808107259</v>
      </c>
      <c r="J29" s="10" t="n">
        <v>0.02275221228184861</v>
      </c>
    </row>
    <row r="30">
      <c r="A30" s="6" t="inlineStr">
        <is>
          <t>神奈川県</t>
        </is>
      </c>
      <c r="B30" s="6" t="inlineStr">
        <is>
          <t>厚木市</t>
        </is>
      </c>
      <c r="C30" s="9" t="n">
        <v>1</v>
      </c>
      <c r="D30" s="7" t="n">
        <v>8692720</v>
      </c>
      <c r="E30" s="7" t="n">
        <v>8145060</v>
      </c>
      <c r="F30" s="8" t="n">
        <v>0.06723830149808596</v>
      </c>
      <c r="G30" s="8" t="n">
        <v>0.06723830149808596</v>
      </c>
      <c r="H30" s="9" t="n">
        <v>9844</v>
      </c>
      <c r="I30" s="9" t="n">
        <v>883.0475416497359</v>
      </c>
      <c r="J30" s="10" t="n">
        <v>0.02242593829440925</v>
      </c>
    </row>
    <row r="31">
      <c r="A31" s="14" t="inlineStr">
        <is>
          <t>埼玉県</t>
        </is>
      </c>
      <c r="B31" s="14" t="inlineStr">
        <is>
          <t>(小計)</t>
        </is>
      </c>
      <c r="C31" s="15" t="n">
        <v>8</v>
      </c>
      <c r="D31" s="16" t="n">
        <v>83187470</v>
      </c>
      <c r="E31" s="16" t="n">
        <v>81459650</v>
      </c>
      <c r="F31" s="17" t="n">
        <v>0.021210746670284</v>
      </c>
      <c r="G31" s="17" t="n">
        <v>0.021210746670284</v>
      </c>
      <c r="H31" s="15" t="n">
        <v>115754</v>
      </c>
      <c r="I31" s="15" t="n">
        <v>718.6574114069492</v>
      </c>
      <c r="J31" s="18" t="n">
        <v>0.2146114299192911</v>
      </c>
    </row>
    <row r="32">
      <c r="A32" s="6" t="inlineStr">
        <is>
          <t>埼玉県</t>
        </is>
      </c>
      <c r="B32" s="6" t="inlineStr">
        <is>
          <t>所沢市</t>
        </is>
      </c>
      <c r="C32" s="9" t="n">
        <v>1</v>
      </c>
      <c r="D32" s="7" t="n">
        <v>14413000</v>
      </c>
      <c r="E32" s="7" t="n">
        <v>13687720</v>
      </c>
      <c r="F32" s="8" t="n">
        <v>0.05298764147717816</v>
      </c>
      <c r="G32" s="8" t="n">
        <v>0.05298764147717816</v>
      </c>
      <c r="H32" s="9" t="n">
        <v>24400</v>
      </c>
      <c r="I32" s="9" t="n">
        <v>590.6967213114754</v>
      </c>
      <c r="J32" s="10" t="n">
        <v>0.03718341884212541</v>
      </c>
    </row>
    <row r="33">
      <c r="A33" s="6" t="inlineStr">
        <is>
          <t>埼玉県</t>
        </is>
      </c>
      <c r="B33" s="6" t="inlineStr">
        <is>
          <t>さいたま市大宮区</t>
        </is>
      </c>
      <c r="C33" s="9" t="n">
        <v>1</v>
      </c>
      <c r="D33" s="7" t="n">
        <v>14371440</v>
      </c>
      <c r="E33" s="7" t="n">
        <v>13505710</v>
      </c>
      <c r="F33" s="8" t="n">
        <v>0.06410103578412385</v>
      </c>
      <c r="G33" s="8" t="n">
        <v>0.06410103578412385</v>
      </c>
      <c r="H33" s="9" t="n">
        <v>24351</v>
      </c>
      <c r="I33" s="9" t="n">
        <v>590.1786374276211</v>
      </c>
      <c r="J33" s="10" t="n">
        <v>0.037076200158501</v>
      </c>
    </row>
    <row r="34">
      <c r="A34" s="6" t="inlineStr">
        <is>
          <t>埼玉県</t>
        </is>
      </c>
      <c r="B34" s="6" t="inlineStr">
        <is>
          <t>さいたま市浦和区</t>
        </is>
      </c>
      <c r="C34" s="9" t="n">
        <v>1</v>
      </c>
      <c r="D34" s="7" t="n">
        <v>13932180</v>
      </c>
      <c r="E34" s="7" t="n">
        <v>13319950</v>
      </c>
      <c r="F34" s="8" t="n">
        <v>0.04596338574844494</v>
      </c>
      <c r="G34" s="8" t="n">
        <v>0.04596338574844494</v>
      </c>
      <c r="H34" s="9" t="n">
        <v>21989</v>
      </c>
      <c r="I34" s="9" t="n">
        <v>633.5977079448816</v>
      </c>
      <c r="J34" s="10" t="n">
        <v>0.03594297400429355</v>
      </c>
    </row>
    <row r="35">
      <c r="A35" s="6" t="inlineStr">
        <is>
          <t>埼玉県</t>
        </is>
      </c>
      <c r="B35" s="6" t="inlineStr">
        <is>
          <t>越谷市</t>
        </is>
      </c>
      <c r="C35" s="9" t="n">
        <v>1</v>
      </c>
      <c r="D35" s="7" t="n">
        <v>10809500</v>
      </c>
      <c r="E35" s="7" t="n">
        <v>10777130</v>
      </c>
      <c r="F35" s="8" t="n">
        <v>0.003003582586458498</v>
      </c>
      <c r="G35" s="8" t="n">
        <v>0.003003582586458498</v>
      </c>
      <c r="H35" s="9" t="n">
        <v>12104</v>
      </c>
      <c r="I35" s="9" t="n">
        <v>893.0518836748182</v>
      </c>
      <c r="J35" s="10" t="n">
        <v>0.02788691916838651</v>
      </c>
    </row>
    <row r="36">
      <c r="A36" s="6" t="inlineStr">
        <is>
          <t>埼玉県</t>
        </is>
      </c>
      <c r="B36" s="6" t="inlineStr">
        <is>
          <t>川口市</t>
        </is>
      </c>
      <c r="C36" s="9" t="n">
        <v>1</v>
      </c>
      <c r="D36" s="7" t="n">
        <v>8755260</v>
      </c>
      <c r="E36" s="7" t="n">
        <v>8087740</v>
      </c>
      <c r="F36" s="8" t="n">
        <v>0.08253479958554544</v>
      </c>
      <c r="G36" s="8" t="n">
        <v>0.08253479958554544</v>
      </c>
      <c r="H36" s="9" t="n">
        <v>10621</v>
      </c>
      <c r="I36" s="9" t="n">
        <v>824.3348083984558</v>
      </c>
      <c r="J36" s="10" t="n">
        <v>0.02258728229041192</v>
      </c>
    </row>
    <row r="37">
      <c r="A37" s="6" t="inlineStr">
        <is>
          <t>埼玉県</t>
        </is>
      </c>
      <c r="B37" s="6" t="inlineStr">
        <is>
          <t>春日部市</t>
        </is>
      </c>
      <c r="C37" s="9" t="n">
        <v>1</v>
      </c>
      <c r="D37" s="7" t="n">
        <v>7311380</v>
      </c>
      <c r="E37" s="7" t="n">
        <v>7931450</v>
      </c>
      <c r="F37" s="8" t="n">
        <v>-0.07817864324934276</v>
      </c>
      <c r="G37" s="8" t="n">
        <v>-0.07817864324934276</v>
      </c>
      <c r="H37" s="9" t="n">
        <v>7456</v>
      </c>
      <c r="I37" s="9" t="n">
        <v>980.6035407725321</v>
      </c>
      <c r="J37" s="10" t="n">
        <v>0.01886228438589738</v>
      </c>
    </row>
    <row r="38">
      <c r="A38" s="6" t="inlineStr">
        <is>
          <t>埼玉県</t>
        </is>
      </c>
      <c r="B38" s="6" t="inlineStr">
        <is>
          <t>熊谷市</t>
        </is>
      </c>
      <c r="C38" s="9" t="n">
        <v>1</v>
      </c>
      <c r="D38" s="7" t="n">
        <v>7091240</v>
      </c>
      <c r="E38" s="7" t="n">
        <v>7861580</v>
      </c>
      <c r="F38" s="8" t="n">
        <v>-0.09798793626726432</v>
      </c>
      <c r="G38" s="8" t="n">
        <v>-0.09798793626726432</v>
      </c>
      <c r="H38" s="9" t="n">
        <v>8127</v>
      </c>
      <c r="I38" s="9" t="n">
        <v>872.5532176694967</v>
      </c>
      <c r="J38" s="10" t="n">
        <v>0.01829435558385023</v>
      </c>
    </row>
    <row r="39">
      <c r="A39" s="6" t="inlineStr">
        <is>
          <t>埼玉県</t>
        </is>
      </c>
      <c r="B39" s="6" t="inlineStr">
        <is>
          <t>川越市</t>
        </is>
      </c>
      <c r="C39" s="9" t="n">
        <v>1</v>
      </c>
      <c r="D39" s="7" t="n">
        <v>6503470</v>
      </c>
      <c r="E39" s="7" t="n">
        <v>6288370</v>
      </c>
      <c r="F39" s="8" t="n">
        <v>0.03420600250939443</v>
      </c>
      <c r="G39" s="8" t="n">
        <v>0.03420600250939443</v>
      </c>
      <c r="H39" s="9" t="n">
        <v>6706</v>
      </c>
      <c r="I39" s="9" t="n">
        <v>969.7986877423203</v>
      </c>
      <c r="J39" s="10" t="n">
        <v>0.01677799548582511</v>
      </c>
    </row>
    <row r="40">
      <c r="A40" s="14" t="inlineStr">
        <is>
          <t>千葉県</t>
        </is>
      </c>
      <c r="B40" s="14" t="inlineStr">
        <is>
          <t>(小計)</t>
        </is>
      </c>
      <c r="C40" s="15" t="n">
        <v>7</v>
      </c>
      <c r="D40" s="16" t="n">
        <v>59394890</v>
      </c>
      <c r="E40" s="16" t="n">
        <v>49436980</v>
      </c>
      <c r="F40" s="17" t="n">
        <v>0.2014263411721346</v>
      </c>
      <c r="G40" s="17" t="n">
        <v>-0.0054604872708649</v>
      </c>
      <c r="H40" s="15" t="n">
        <v>80895</v>
      </c>
      <c r="I40" s="15" t="n">
        <v>734.2220161938316</v>
      </c>
      <c r="J40" s="18" t="n">
        <v>0.1532300750677837</v>
      </c>
    </row>
    <row r="41">
      <c r="A41" s="6" t="inlineStr">
        <is>
          <t>千葉県</t>
        </is>
      </c>
      <c r="B41" s="6" t="inlineStr">
        <is>
          <t>印西市</t>
        </is>
      </c>
      <c r="C41" s="9" t="n">
        <v>1</v>
      </c>
      <c r="D41" s="7" t="n">
        <v>10227860</v>
      </c>
      <c r="E41" s="7" t="n"/>
      <c r="F41" s="8" t="n"/>
      <c r="G41" s="8" t="n"/>
      <c r="H41" s="9" t="n">
        <v>10734</v>
      </c>
      <c r="I41" s="9" t="n">
        <v>952.8470281348984</v>
      </c>
      <c r="J41" s="10" t="n">
        <v>0.0263863735682107</v>
      </c>
    </row>
    <row r="42">
      <c r="A42" s="6" t="inlineStr">
        <is>
          <t>千葉県</t>
        </is>
      </c>
      <c r="B42" s="6" t="inlineStr">
        <is>
          <t>柏市</t>
        </is>
      </c>
      <c r="C42" s="9" t="n">
        <v>1</v>
      </c>
      <c r="D42" s="7" t="n">
        <v>9135500</v>
      </c>
      <c r="E42" s="7" t="n">
        <v>9007680</v>
      </c>
      <c r="F42" s="8" t="n">
        <v>0.01419011332551778</v>
      </c>
      <c r="G42" s="8" t="n">
        <v>0.01419011332551778</v>
      </c>
      <c r="H42" s="9" t="n">
        <v>11521</v>
      </c>
      <c r="I42" s="9" t="n">
        <v>792.9433208922836</v>
      </c>
      <c r="J42" s="10" t="n">
        <v>0.02356824553057911</v>
      </c>
    </row>
    <row r="43">
      <c r="A43" s="6" t="inlineStr">
        <is>
          <t>千葉県</t>
        </is>
      </c>
      <c r="B43" s="6" t="inlineStr">
        <is>
          <t>松戸市</t>
        </is>
      </c>
      <c r="C43" s="9" t="n">
        <v>1</v>
      </c>
      <c r="D43" s="7" t="n">
        <v>8941770</v>
      </c>
      <c r="E43" s="7" t="n">
        <v>9427640</v>
      </c>
      <c r="F43" s="8" t="n">
        <v>-0.05153675787365664</v>
      </c>
      <c r="G43" s="8" t="n">
        <v>-0.05153675787365664</v>
      </c>
      <c r="H43" s="9" t="n">
        <v>13749</v>
      </c>
      <c r="I43" s="9" t="n">
        <v>650.3578442068514</v>
      </c>
      <c r="J43" s="10" t="n">
        <v>0.02306845064177838</v>
      </c>
    </row>
    <row r="44">
      <c r="A44" s="6" t="inlineStr">
        <is>
          <t>千葉県</t>
        </is>
      </c>
      <c r="B44" s="6" t="inlineStr">
        <is>
          <t>船橋市</t>
        </is>
      </c>
      <c r="C44" s="9" t="n">
        <v>1</v>
      </c>
      <c r="D44" s="7" t="n">
        <v>8733360</v>
      </c>
      <c r="E44" s="7" t="n">
        <v>8438820</v>
      </c>
      <c r="F44" s="8" t="n">
        <v>0.03490298406649273</v>
      </c>
      <c r="G44" s="8" t="n">
        <v>0.03490298406649273</v>
      </c>
      <c r="H44" s="9" t="n">
        <v>14405</v>
      </c>
      <c r="I44" s="9" t="n">
        <v>606.2728219368275</v>
      </c>
      <c r="J44" s="10" t="n">
        <v>0.02253078351342985</v>
      </c>
    </row>
    <row r="45">
      <c r="A45" s="6" t="inlineStr">
        <is>
          <t>千葉県</t>
        </is>
      </c>
      <c r="B45" s="6" t="inlineStr">
        <is>
          <t>千葉市中央区</t>
        </is>
      </c>
      <c r="C45" s="9" t="n">
        <v>1</v>
      </c>
      <c r="D45" s="7" t="n">
        <v>8249270</v>
      </c>
      <c r="E45" s="7" t="n">
        <v>7966450</v>
      </c>
      <c r="F45" s="8" t="n">
        <v>0.0355013839288516</v>
      </c>
      <c r="G45" s="8" t="n">
        <v>0.0355013839288516</v>
      </c>
      <c r="H45" s="9" t="n">
        <v>13828</v>
      </c>
      <c r="I45" s="9" t="n">
        <v>596.5627711888922</v>
      </c>
      <c r="J45" s="10" t="n">
        <v>0.02128190255684312</v>
      </c>
    </row>
    <row r="46">
      <c r="A46" s="6" t="inlineStr">
        <is>
          <t>千葉県</t>
        </is>
      </c>
      <c r="B46" s="6" t="inlineStr">
        <is>
          <t>千葉市美浜区</t>
        </is>
      </c>
      <c r="C46" s="9" t="n">
        <v>1</v>
      </c>
      <c r="D46" s="7" t="n">
        <v>8151990</v>
      </c>
      <c r="E46" s="7" t="n">
        <v>8012520</v>
      </c>
      <c r="F46" s="8" t="n">
        <v>0.01740650881370653</v>
      </c>
      <c r="G46" s="8" t="n">
        <v>0.01740650881370653</v>
      </c>
      <c r="H46" s="9" t="n">
        <v>10952</v>
      </c>
      <c r="I46" s="9" t="n">
        <v>744.3380204528853</v>
      </c>
      <c r="J46" s="10" t="n">
        <v>0.02103093447351821</v>
      </c>
    </row>
    <row r="47">
      <c r="A47" s="6" t="inlineStr">
        <is>
          <t>千葉県</t>
        </is>
      </c>
      <c r="B47" s="6" t="inlineStr">
        <is>
          <t>市原市</t>
        </is>
      </c>
      <c r="C47" s="9" t="n">
        <v>1</v>
      </c>
      <c r="D47" s="7" t="n">
        <v>5955140</v>
      </c>
      <c r="E47" s="7" t="n">
        <v>6583870</v>
      </c>
      <c r="F47" s="8" t="n">
        <v>-0.09549550644225968</v>
      </c>
      <c r="G47" s="8" t="n">
        <v>-0.09549550644225968</v>
      </c>
      <c r="H47" s="9" t="n">
        <v>5706</v>
      </c>
      <c r="I47" s="9" t="n">
        <v>1043.66281107606</v>
      </c>
      <c r="J47" s="10" t="n">
        <v>0.01536338478342432</v>
      </c>
    </row>
    <row r="48">
      <c r="A48" s="14" t="inlineStr">
        <is>
          <t>関東合計</t>
        </is>
      </c>
      <c r="B48" s="14" t="inlineStr"/>
      <c r="C48" s="15" t="n">
        <v>40</v>
      </c>
      <c r="D48" s="16" t="n">
        <v>387619010</v>
      </c>
      <c r="E48" s="16" t="n">
        <v>349059520</v>
      </c>
      <c r="F48" s="17" t="n">
        <v>0.1104668052027344</v>
      </c>
      <c r="G48" s="17" t="n">
        <v>0.03121355922336688</v>
      </c>
      <c r="H48" s="15" t="n">
        <v>539113</v>
      </c>
      <c r="I48" s="15" t="n">
        <v>718.9939956929252</v>
      </c>
      <c r="J48" s="18" t="n">
        <v>1</v>
      </c>
    </row>
    <row r="50">
      <c r="A50" s="19" t="inlineStr">
        <is>
          <t>※既存店=前年同月より前に開店した店舗。新店のみの市区町村は既存店の前年比が空欄になります。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10" customWidth="1" min="4" max="4"/>
    <col width="16" customWidth="1" min="5" max="5"/>
    <col width="13" customWidth="1" min="6" max="6"/>
    <col width="14" customWidth="1" min="7" max="7"/>
    <col width="10" customWidth="1" min="8" max="8"/>
    <col width="11" customWidth="1" min="9" max="9"/>
    <col width="11" customWidth="1" min="10" max="10"/>
    <col width="11" customWidth="1" min="11" max="11"/>
  </cols>
  <sheetData>
    <row r="1" ht="28" customHeight="1">
      <c r="A1" s="1" t="inlineStr">
        <is>
          <t>店舗別の実績 2026年9月</t>
        </is>
      </c>
    </row>
    <row r="2">
      <c r="A2" s="2" t="inlineStr">
        <is>
          <t>こむぎ堂ホールディングス株式会社(架空)|対象期間 2026/09/01〜2026/09/30(前年同月 2025/09/01〜2025/09/30)|作成日時 2026/10/09 22:58|※ダミーデータによるデモ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30" customHeight="1">
      <c r="A4" s="5" t="inlineStr">
        <is>
          <t>店舗ID</t>
        </is>
      </c>
      <c r="B4" s="5" t="inlineStr">
        <is>
          <t>店舗名</t>
        </is>
      </c>
      <c r="C4" s="5" t="inlineStr">
        <is>
          <t>業態</t>
        </is>
      </c>
      <c r="D4" s="5" t="inlineStr">
        <is>
          <t>都道府県</t>
        </is>
      </c>
      <c r="E4" s="5" t="inlineStr">
        <is>
          <t>市区町村</t>
        </is>
      </c>
      <c r="F4" s="5" t="inlineStr">
        <is>
          <t>売上(千円)</t>
        </is>
      </c>
      <c r="G4" s="5" t="inlineStr">
        <is>
          <t>前年同月(千円)</t>
        </is>
      </c>
      <c r="H4" s="5" t="inlineStr">
        <is>
          <t>前年比</t>
        </is>
      </c>
      <c r="I4" s="5" t="inlineStr">
        <is>
          <t>客数(人)</t>
        </is>
      </c>
      <c r="J4" s="5" t="inlineStr">
        <is>
          <t>客単価(円)</t>
        </is>
      </c>
      <c r="K4" s="5" t="inlineStr">
        <is>
          <t>前年比順位</t>
        </is>
      </c>
    </row>
    <row r="5">
      <c r="A5" s="6" t="inlineStr">
        <is>
          <t>S001</t>
        </is>
      </c>
      <c r="B5" s="6" t="inlineStr">
        <is>
          <t>こむぎ堂 新宿店</t>
        </is>
      </c>
      <c r="C5" s="6" t="inlineStr">
        <is>
          <t>駅ナカ型</t>
        </is>
      </c>
      <c r="D5" s="6" t="inlineStr">
        <is>
          <t>東京都</t>
        </is>
      </c>
      <c r="E5" s="6" t="inlineStr">
        <is>
          <t>新宿区</t>
        </is>
      </c>
      <c r="F5" s="7" t="n">
        <v>12687410</v>
      </c>
      <c r="G5" s="7" t="n">
        <v>12005550</v>
      </c>
      <c r="H5" s="8" t="n">
        <v>0.05679539879472406</v>
      </c>
      <c r="I5" s="9" t="n">
        <v>18785</v>
      </c>
      <c r="J5" s="9" t="n">
        <v>675.4011179132286</v>
      </c>
      <c r="K5" s="20" t="n">
        <v>13</v>
      </c>
    </row>
    <row r="6">
      <c r="A6" s="6" t="inlineStr">
        <is>
          <t>S002</t>
        </is>
      </c>
      <c r="B6" s="6" t="inlineStr">
        <is>
          <t>こむぎ堂 渋谷店</t>
        </is>
      </c>
      <c r="C6" s="6" t="inlineStr">
        <is>
          <t>駅ナカ型</t>
        </is>
      </c>
      <c r="D6" s="6" t="inlineStr">
        <is>
          <t>東京都</t>
        </is>
      </c>
      <c r="E6" s="6" t="inlineStr">
        <is>
          <t>渋谷区</t>
        </is>
      </c>
      <c r="F6" s="7" t="n">
        <v>12301020</v>
      </c>
      <c r="G6" s="7" t="n">
        <v>11376940</v>
      </c>
      <c r="H6" s="8" t="n">
        <v>0.08122394949784395</v>
      </c>
      <c r="I6" s="9" t="n">
        <v>18669</v>
      </c>
      <c r="J6" s="9" t="n">
        <v>658.9008516792544</v>
      </c>
      <c r="K6" s="20" t="n">
        <v>6</v>
      </c>
    </row>
    <row r="7">
      <c r="A7" s="6" t="inlineStr">
        <is>
          <t>S003</t>
        </is>
      </c>
      <c r="B7" s="6" t="inlineStr">
        <is>
          <t>こむぎ堂 池袋店</t>
        </is>
      </c>
      <c r="C7" s="6" t="inlineStr">
        <is>
          <t>駅ナカ型</t>
        </is>
      </c>
      <c r="D7" s="6" t="inlineStr">
        <is>
          <t>東京都</t>
        </is>
      </c>
      <c r="E7" s="6" t="inlineStr">
        <is>
          <t>豊島区</t>
        </is>
      </c>
      <c r="F7" s="7" t="n">
        <v>10352290</v>
      </c>
      <c r="G7" s="7" t="n">
        <v>10975950</v>
      </c>
      <c r="H7" s="8" t="n">
        <v>-0.05682059411713791</v>
      </c>
      <c r="I7" s="9" t="n">
        <v>16261</v>
      </c>
      <c r="J7" s="9" t="n">
        <v>636.6330483980075</v>
      </c>
      <c r="K7" s="20" t="n">
        <v>34</v>
      </c>
    </row>
    <row r="8">
      <c r="A8" s="6" t="inlineStr">
        <is>
          <t>S004</t>
        </is>
      </c>
      <c r="B8" s="6" t="inlineStr">
        <is>
          <t>こむぎ堂 品川店</t>
        </is>
      </c>
      <c r="C8" s="6" t="inlineStr">
        <is>
          <t>駅ナカ型</t>
        </is>
      </c>
      <c r="D8" s="6" t="inlineStr">
        <is>
          <t>東京都</t>
        </is>
      </c>
      <c r="E8" s="6" t="inlineStr">
        <is>
          <t>港区</t>
        </is>
      </c>
      <c r="F8" s="7" t="n">
        <v>14348500</v>
      </c>
      <c r="G8" s="7" t="n">
        <v>13563660</v>
      </c>
      <c r="H8" s="8" t="n">
        <v>0.05786343803958527</v>
      </c>
      <c r="I8" s="9" t="n">
        <v>23338</v>
      </c>
      <c r="J8" s="9" t="n">
        <v>614.8127517353672</v>
      </c>
      <c r="K8" s="20" t="n">
        <v>12</v>
      </c>
    </row>
    <row r="9">
      <c r="A9" s="6" t="inlineStr">
        <is>
          <t>S005</t>
        </is>
      </c>
      <c r="B9" s="6" t="inlineStr">
        <is>
          <t>こむぎ堂 北千住店</t>
        </is>
      </c>
      <c r="C9" s="6" t="inlineStr">
        <is>
          <t>駅ナカ型</t>
        </is>
      </c>
      <c r="D9" s="6" t="inlineStr">
        <is>
          <t>東京都</t>
        </is>
      </c>
      <c r="E9" s="6" t="inlineStr">
        <is>
          <t>足立区</t>
        </is>
      </c>
      <c r="F9" s="7" t="n">
        <v>8122920</v>
      </c>
      <c r="G9" s="7" t="n">
        <v>7660270</v>
      </c>
      <c r="H9" s="8" t="n">
        <v>0.06039604348149608</v>
      </c>
      <c r="I9" s="9" t="n">
        <v>13888</v>
      </c>
      <c r="J9" s="9" t="n">
        <v>584.8876728110599</v>
      </c>
      <c r="K9" s="20" t="n">
        <v>11</v>
      </c>
    </row>
    <row r="10">
      <c r="A10" s="6" t="inlineStr">
        <is>
          <t>S006</t>
        </is>
      </c>
      <c r="B10" s="6" t="inlineStr">
        <is>
          <t>こむぎ堂 大森店</t>
        </is>
      </c>
      <c r="C10" s="6" t="inlineStr">
        <is>
          <t>駅ナカ型</t>
        </is>
      </c>
      <c r="D10" s="6" t="inlineStr">
        <is>
          <t>東京都</t>
        </is>
      </c>
      <c r="E10" s="6" t="inlineStr">
        <is>
          <t>大田区</t>
        </is>
      </c>
      <c r="F10" s="7" t="n">
        <v>9131370</v>
      </c>
      <c r="G10" s="7" t="n">
        <v>9011600</v>
      </c>
      <c r="H10" s="8" t="n">
        <v>0.01329064760974741</v>
      </c>
      <c r="I10" s="9" t="n">
        <v>15238</v>
      </c>
      <c r="J10" s="9" t="n">
        <v>599.2499015618847</v>
      </c>
      <c r="K10" s="20" t="n">
        <v>27</v>
      </c>
    </row>
    <row r="11">
      <c r="A11" s="6" t="inlineStr">
        <is>
          <t>S007</t>
        </is>
      </c>
      <c r="B11" s="6" t="inlineStr">
        <is>
          <t>こむぎ堂 吉祥寺店</t>
        </is>
      </c>
      <c r="C11" s="6" t="inlineStr">
        <is>
          <t>商業施設型</t>
        </is>
      </c>
      <c r="D11" s="6" t="inlineStr">
        <is>
          <t>東京都</t>
        </is>
      </c>
      <c r="E11" s="6" t="inlineStr">
        <is>
          <t>武蔵野市</t>
        </is>
      </c>
      <c r="F11" s="7" t="n">
        <v>8524100</v>
      </c>
      <c r="G11" s="7" t="n">
        <v>8342440</v>
      </c>
      <c r="H11" s="8" t="n">
        <v>0.02177540383868504</v>
      </c>
      <c r="I11" s="9" t="n">
        <v>10264</v>
      </c>
      <c r="J11" s="9" t="n">
        <v>830.4851909586906</v>
      </c>
      <c r="K11" s="20" t="n">
        <v>22</v>
      </c>
    </row>
    <row r="12">
      <c r="A12" s="6" t="inlineStr">
        <is>
          <t>S008</t>
        </is>
      </c>
      <c r="B12" s="6" t="inlineStr">
        <is>
          <t>こむぎ堂 立川店</t>
        </is>
      </c>
      <c r="C12" s="6" t="inlineStr">
        <is>
          <t>商業施設型</t>
        </is>
      </c>
      <c r="D12" s="6" t="inlineStr">
        <is>
          <t>東京都</t>
        </is>
      </c>
      <c r="E12" s="6" t="inlineStr">
        <is>
          <t>立川市</t>
        </is>
      </c>
      <c r="F12" s="7" t="n">
        <v>8257160</v>
      </c>
      <c r="G12" s="7" t="n">
        <v>8049490</v>
      </c>
      <c r="H12" s="8" t="n">
        <v>0.0257991500082615</v>
      </c>
      <c r="I12" s="9" t="n">
        <v>11214</v>
      </c>
      <c r="J12" s="9" t="n">
        <v>736.3260210451222</v>
      </c>
      <c r="K12" s="20" t="n">
        <v>21</v>
      </c>
    </row>
    <row r="13">
      <c r="A13" s="6" t="inlineStr">
        <is>
          <t>S009</t>
        </is>
      </c>
      <c r="B13" s="6" t="inlineStr">
        <is>
          <t>こむぎ堂 町田店</t>
        </is>
      </c>
      <c r="C13" s="6" t="inlineStr">
        <is>
          <t>商業施設型</t>
        </is>
      </c>
      <c r="D13" s="6" t="inlineStr">
        <is>
          <t>東京都</t>
        </is>
      </c>
      <c r="E13" s="6" t="inlineStr">
        <is>
          <t>町田市</t>
        </is>
      </c>
      <c r="F13" s="7" t="n">
        <v>9993360</v>
      </c>
      <c r="G13" s="7" t="n">
        <v>10144420</v>
      </c>
      <c r="H13" s="8" t="n">
        <v>-0.01489094497270416</v>
      </c>
      <c r="I13" s="9" t="n">
        <v>14068</v>
      </c>
      <c r="J13" s="9" t="n">
        <v>710.3611032129656</v>
      </c>
      <c r="K13" s="20" t="n">
        <v>31</v>
      </c>
    </row>
    <row r="14">
      <c r="A14" s="6" t="inlineStr">
        <is>
          <t>S010</t>
        </is>
      </c>
      <c r="B14" s="6" t="inlineStr">
        <is>
          <t>こむぎ堂 二子玉川店</t>
        </is>
      </c>
      <c r="C14" s="6" t="inlineStr">
        <is>
          <t>商業施設型</t>
        </is>
      </c>
      <c r="D14" s="6" t="inlineStr">
        <is>
          <t>東京都</t>
        </is>
      </c>
      <c r="E14" s="6" t="inlineStr">
        <is>
          <t>世田谷区</t>
        </is>
      </c>
      <c r="F14" s="7" t="n">
        <v>8117410</v>
      </c>
      <c r="G14" s="7" t="n"/>
      <c r="H14" s="8" t="n"/>
      <c r="I14" s="9" t="n">
        <v>10837</v>
      </c>
      <c r="J14" s="9" t="n">
        <v>749.0458614007566</v>
      </c>
      <c r="K14" s="20" t="inlineStr">
        <is>
          <t>新店</t>
        </is>
      </c>
    </row>
    <row r="15">
      <c r="A15" s="6" t="inlineStr">
        <is>
          <t>S011</t>
        </is>
      </c>
      <c r="B15" s="6" t="inlineStr">
        <is>
          <t>こむぎ堂 錦糸町店</t>
        </is>
      </c>
      <c r="C15" s="6" t="inlineStr">
        <is>
          <t>商業施設型</t>
        </is>
      </c>
      <c r="D15" s="6" t="inlineStr">
        <is>
          <t>東京都</t>
        </is>
      </c>
      <c r="E15" s="6" t="inlineStr">
        <is>
          <t>墨田区</t>
        </is>
      </c>
      <c r="F15" s="7" t="n">
        <v>12765540</v>
      </c>
      <c r="G15" s="7" t="n">
        <v>12557370</v>
      </c>
      <c r="H15" s="8" t="n">
        <v>0.01657751583333145</v>
      </c>
      <c r="I15" s="9" t="n">
        <v>15797</v>
      </c>
      <c r="J15" s="9" t="n">
        <v>808.0990061404065</v>
      </c>
      <c r="K15" s="20" t="n">
        <v>24</v>
      </c>
    </row>
    <row r="16">
      <c r="A16" s="6" t="inlineStr">
        <is>
          <t>S012</t>
        </is>
      </c>
      <c r="B16" s="6" t="inlineStr">
        <is>
          <t>こむぎ堂 八王子店</t>
        </is>
      </c>
      <c r="C16" s="6" t="inlineStr">
        <is>
          <t>ロードサイド型</t>
        </is>
      </c>
      <c r="D16" s="6" t="inlineStr">
        <is>
          <t>東京都</t>
        </is>
      </c>
      <c r="E16" s="6" t="inlineStr">
        <is>
          <t>八王子市</t>
        </is>
      </c>
      <c r="F16" s="7" t="n">
        <v>5811280</v>
      </c>
      <c r="G16" s="7" t="n">
        <v>5613750</v>
      </c>
      <c r="H16" s="8" t="n">
        <v>0.03518681808060564</v>
      </c>
      <c r="I16" s="9" t="n">
        <v>5606</v>
      </c>
      <c r="J16" s="9" t="n">
        <v>1036.617909382804</v>
      </c>
      <c r="K16" s="20" t="n">
        <v>17</v>
      </c>
    </row>
    <row r="17">
      <c r="A17" s="6" t="inlineStr">
        <is>
          <t>S013</t>
        </is>
      </c>
      <c r="B17" s="6" t="inlineStr">
        <is>
          <t>こむぎ堂 府中店</t>
        </is>
      </c>
      <c r="C17" s="6" t="inlineStr">
        <is>
          <t>ロードサイド型</t>
        </is>
      </c>
      <c r="D17" s="6" t="inlineStr">
        <is>
          <t>東京都</t>
        </is>
      </c>
      <c r="E17" s="6" t="inlineStr">
        <is>
          <t>府中市</t>
        </is>
      </c>
      <c r="F17" s="7" t="n">
        <v>5296600</v>
      </c>
      <c r="G17" s="7" t="n">
        <v>5503160</v>
      </c>
      <c r="H17" s="8" t="n">
        <v>-0.037534798188677</v>
      </c>
      <c r="I17" s="9" t="n">
        <v>5372</v>
      </c>
      <c r="J17" s="9" t="n">
        <v>985.9642591213701</v>
      </c>
      <c r="K17" s="20" t="n">
        <v>32</v>
      </c>
    </row>
    <row r="18">
      <c r="A18" s="6" t="inlineStr">
        <is>
          <t>S014</t>
        </is>
      </c>
      <c r="B18" s="6" t="inlineStr">
        <is>
          <t>こむぎ堂 練馬店</t>
        </is>
      </c>
      <c r="C18" s="6" t="inlineStr">
        <is>
          <t>ロードサイド型</t>
        </is>
      </c>
      <c r="D18" s="6" t="inlineStr">
        <is>
          <t>東京都</t>
        </is>
      </c>
      <c r="E18" s="6" t="inlineStr">
        <is>
          <t>練馬区</t>
        </is>
      </c>
      <c r="F18" s="7" t="n">
        <v>9402280</v>
      </c>
      <c r="G18" s="7" t="n">
        <v>9544250</v>
      </c>
      <c r="H18" s="8" t="n">
        <v>-0.01487492469287788</v>
      </c>
      <c r="I18" s="9" t="n">
        <v>9492</v>
      </c>
      <c r="J18" s="9" t="n">
        <v>990.5478297513696</v>
      </c>
      <c r="K18" s="20" t="n">
        <v>30</v>
      </c>
    </row>
    <row r="19">
      <c r="A19" s="6" t="inlineStr">
        <is>
          <t>S015</t>
        </is>
      </c>
      <c r="B19" s="6" t="inlineStr">
        <is>
          <t>こむぎ堂 横浜店</t>
        </is>
      </c>
      <c r="C19" s="6" t="inlineStr">
        <is>
          <t>駅ナカ型</t>
        </is>
      </c>
      <c r="D19" s="6" t="inlineStr">
        <is>
          <t>神奈川県</t>
        </is>
      </c>
      <c r="E19" s="6" t="inlineStr">
        <is>
          <t>横浜市西区</t>
        </is>
      </c>
      <c r="F19" s="7" t="n">
        <v>9896050</v>
      </c>
      <c r="G19" s="7" t="n">
        <v>9125720</v>
      </c>
      <c r="H19" s="8" t="n">
        <v>0.08441306548962713</v>
      </c>
      <c r="I19" s="9" t="n">
        <v>16810</v>
      </c>
      <c r="J19" s="9" t="n">
        <v>588.7001784651993</v>
      </c>
      <c r="K19" s="20" t="n">
        <v>3</v>
      </c>
    </row>
    <row r="20">
      <c r="A20" s="6" t="inlineStr">
        <is>
          <t>S016</t>
        </is>
      </c>
      <c r="B20" s="6" t="inlineStr">
        <is>
          <t>こむぎ堂 新横浜店</t>
        </is>
      </c>
      <c r="C20" s="6" t="inlineStr">
        <is>
          <t>駅ナカ型</t>
        </is>
      </c>
      <c r="D20" s="6" t="inlineStr">
        <is>
          <t>神奈川県</t>
        </is>
      </c>
      <c r="E20" s="6" t="inlineStr">
        <is>
          <t>横浜市港北区</t>
        </is>
      </c>
      <c r="F20" s="7" t="n">
        <v>13943020</v>
      </c>
      <c r="G20" s="7" t="n">
        <v>12410290</v>
      </c>
      <c r="H20" s="8" t="n">
        <v>0.1235047690263482</v>
      </c>
      <c r="I20" s="9" t="n">
        <v>24460</v>
      </c>
      <c r="J20" s="9" t="n">
        <v>570.0335241210139</v>
      </c>
      <c r="K20" s="20" t="n">
        <v>2</v>
      </c>
    </row>
    <row r="21">
      <c r="A21" s="6" t="inlineStr">
        <is>
          <t>S017</t>
        </is>
      </c>
      <c r="B21" s="6" t="inlineStr">
        <is>
          <t>こむぎ堂 武蔵小杉店</t>
        </is>
      </c>
      <c r="C21" s="6" t="inlineStr">
        <is>
          <t>駅ナカ型</t>
        </is>
      </c>
      <c r="D21" s="6" t="inlineStr">
        <is>
          <t>神奈川県</t>
        </is>
      </c>
      <c r="E21" s="6" t="inlineStr">
        <is>
          <t>川崎市中原区</t>
        </is>
      </c>
      <c r="F21" s="7" t="n">
        <v>12231520</v>
      </c>
      <c r="G21" s="7" t="n">
        <v>11418230</v>
      </c>
      <c r="H21" s="8" t="n">
        <v>0.07122732682736288</v>
      </c>
      <c r="I21" s="9" t="n">
        <v>19642</v>
      </c>
      <c r="J21" s="9" t="n">
        <v>622.7227369921596</v>
      </c>
      <c r="K21" s="20" t="n">
        <v>8</v>
      </c>
    </row>
    <row r="22">
      <c r="A22" s="6" t="inlineStr">
        <is>
          <t>S018</t>
        </is>
      </c>
      <c r="B22" s="6" t="inlineStr">
        <is>
          <t>こむぎ堂 藤沢店</t>
        </is>
      </c>
      <c r="C22" s="6" t="inlineStr">
        <is>
          <t>駅ナカ型</t>
        </is>
      </c>
      <c r="D22" s="6" t="inlineStr">
        <is>
          <t>神奈川県</t>
        </is>
      </c>
      <c r="E22" s="6" t="inlineStr">
        <is>
          <t>藤沢市</t>
        </is>
      </c>
      <c r="F22" s="7" t="n">
        <v>9726380</v>
      </c>
      <c r="G22" s="7" t="n">
        <v>9571340</v>
      </c>
      <c r="H22" s="8" t="n">
        <v>0.01619835885048482</v>
      </c>
      <c r="I22" s="9" t="n">
        <v>15153</v>
      </c>
      <c r="J22" s="9" t="n">
        <v>641.878175938758</v>
      </c>
      <c r="K22" s="20" t="n">
        <v>25</v>
      </c>
    </row>
    <row r="23">
      <c r="A23" s="6" t="inlineStr">
        <is>
          <t>S019</t>
        </is>
      </c>
      <c r="B23" s="6" t="inlineStr">
        <is>
          <t>こむぎ堂 みなとみらい店</t>
        </is>
      </c>
      <c r="C23" s="6" t="inlineStr">
        <is>
          <t>商業施設型</t>
        </is>
      </c>
      <c r="D23" s="6" t="inlineStr">
        <is>
          <t>神奈川県</t>
        </is>
      </c>
      <c r="E23" s="6" t="inlineStr">
        <is>
          <t>横浜市西区</t>
        </is>
      </c>
      <c r="F23" s="7" t="n">
        <v>7735160</v>
      </c>
      <c r="G23" s="7" t="n">
        <v>7148510</v>
      </c>
      <c r="H23" s="8" t="n">
        <v>0.08206605292571467</v>
      </c>
      <c r="I23" s="9" t="n">
        <v>9498</v>
      </c>
      <c r="J23" s="9" t="n">
        <v>814.3988208043799</v>
      </c>
      <c r="K23" s="20" t="n">
        <v>5</v>
      </c>
    </row>
    <row r="24">
      <c r="A24" s="6" t="inlineStr">
        <is>
          <t>S020</t>
        </is>
      </c>
      <c r="B24" s="6" t="inlineStr">
        <is>
          <t>こむぎ堂 センター北店</t>
        </is>
      </c>
      <c r="C24" s="6" t="inlineStr">
        <is>
          <t>商業施設型</t>
        </is>
      </c>
      <c r="D24" s="6" t="inlineStr">
        <is>
          <t>神奈川県</t>
        </is>
      </c>
      <c r="E24" s="6" t="inlineStr">
        <is>
          <t>横浜市都筑区</t>
        </is>
      </c>
      <c r="F24" s="7" t="n">
        <v>10136710</v>
      </c>
      <c r="G24" s="7" t="n">
        <v>8622460</v>
      </c>
      <c r="H24" s="8" t="n">
        <v>0.1756169353061656</v>
      </c>
      <c r="I24" s="9" t="n">
        <v>13147</v>
      </c>
      <c r="J24" s="9" t="n">
        <v>771.0283714915951</v>
      </c>
      <c r="K24" s="20" t="n">
        <v>1</v>
      </c>
    </row>
    <row r="25">
      <c r="A25" s="6" t="inlineStr">
        <is>
          <t>S021</t>
        </is>
      </c>
      <c r="B25" s="6" t="inlineStr">
        <is>
          <t>こむぎ堂 川崎店</t>
        </is>
      </c>
      <c r="C25" s="6" t="inlineStr">
        <is>
          <t>商業施設型</t>
        </is>
      </c>
      <c r="D25" s="6" t="inlineStr">
        <is>
          <t>神奈川県</t>
        </is>
      </c>
      <c r="E25" s="6" t="inlineStr">
        <is>
          <t>川崎市川崎区</t>
        </is>
      </c>
      <c r="F25" s="7" t="n">
        <v>9348730</v>
      </c>
      <c r="G25" s="7" t="n">
        <v>9403070</v>
      </c>
      <c r="H25" s="8" t="n">
        <v>-0.005778963678883642</v>
      </c>
      <c r="I25" s="9" t="n">
        <v>12176</v>
      </c>
      <c r="J25" s="9" t="n">
        <v>767.7997700394218</v>
      </c>
      <c r="K25" s="20" t="n">
        <v>29</v>
      </c>
    </row>
    <row r="26">
      <c r="A26" s="6" t="inlineStr">
        <is>
          <t>S022</t>
        </is>
      </c>
      <c r="B26" s="6" t="inlineStr">
        <is>
          <t>こむぎ堂 海老名店</t>
        </is>
      </c>
      <c r="C26" s="6" t="inlineStr">
        <is>
          <t>商業施設型</t>
        </is>
      </c>
      <c r="D26" s="6" t="inlineStr">
        <is>
          <t>神奈川県</t>
        </is>
      </c>
      <c r="E26" s="6" t="inlineStr">
        <is>
          <t>海老名市</t>
        </is>
      </c>
      <c r="F26" s="7" t="n">
        <v>9318830</v>
      </c>
      <c r="G26" s="7" t="n"/>
      <c r="H26" s="8" t="n"/>
      <c r="I26" s="9" t="n">
        <v>12666</v>
      </c>
      <c r="J26" s="9" t="n">
        <v>735.7358282014843</v>
      </c>
      <c r="K26" s="20" t="inlineStr">
        <is>
          <t>新店</t>
        </is>
      </c>
    </row>
    <row r="27">
      <c r="A27" s="6" t="inlineStr">
        <is>
          <t>S023</t>
        </is>
      </c>
      <c r="B27" s="6" t="inlineStr">
        <is>
          <t>こむぎ堂 相模原店</t>
        </is>
      </c>
      <c r="C27" s="6" t="inlineStr">
        <is>
          <t>ロードサイド型</t>
        </is>
      </c>
      <c r="D27" s="6" t="inlineStr">
        <is>
          <t>神奈川県</t>
        </is>
      </c>
      <c r="E27" s="6" t="inlineStr">
        <is>
          <t>相模原市中央区</t>
        </is>
      </c>
      <c r="F27" s="7" t="n">
        <v>8819190</v>
      </c>
      <c r="G27" s="7" t="n">
        <v>8183910</v>
      </c>
      <c r="H27" s="8" t="n">
        <v>0.07762548708380224</v>
      </c>
      <c r="I27" s="9" t="n">
        <v>9547</v>
      </c>
      <c r="J27" s="9" t="n">
        <v>923.7655808107259</v>
      </c>
      <c r="K27" s="20" t="n">
        <v>7</v>
      </c>
    </row>
    <row r="28">
      <c r="A28" s="6" t="inlineStr">
        <is>
          <t>S024</t>
        </is>
      </c>
      <c r="B28" s="6" t="inlineStr">
        <is>
          <t>こむぎ堂 厚木店</t>
        </is>
      </c>
      <c r="C28" s="6" t="inlineStr">
        <is>
          <t>ロードサイド型</t>
        </is>
      </c>
      <c r="D28" s="6" t="inlineStr">
        <is>
          <t>神奈川県</t>
        </is>
      </c>
      <c r="E28" s="6" t="inlineStr">
        <is>
          <t>厚木市</t>
        </is>
      </c>
      <c r="F28" s="7" t="n">
        <v>8692720</v>
      </c>
      <c r="G28" s="7" t="n">
        <v>8145060</v>
      </c>
      <c r="H28" s="8" t="n">
        <v>0.06723830149808596</v>
      </c>
      <c r="I28" s="9" t="n">
        <v>9844</v>
      </c>
      <c r="J28" s="9" t="n">
        <v>883.0475416497359</v>
      </c>
      <c r="K28" s="20" t="n">
        <v>9</v>
      </c>
    </row>
    <row r="29">
      <c r="A29" s="6" t="inlineStr">
        <is>
          <t>S025</t>
        </is>
      </c>
      <c r="B29" s="6" t="inlineStr">
        <is>
          <t>こむぎ堂 平塚店</t>
        </is>
      </c>
      <c r="C29" s="6" t="inlineStr">
        <is>
          <t>ロードサイド型</t>
        </is>
      </c>
      <c r="D29" s="6" t="inlineStr">
        <is>
          <t>神奈川県</t>
        </is>
      </c>
      <c r="E29" s="6" t="inlineStr">
        <is>
          <t>平塚市</t>
        </is>
      </c>
      <c r="F29" s="7" t="n">
        <v>10077100</v>
      </c>
      <c r="G29" s="7" t="n">
        <v>9785450</v>
      </c>
      <c r="H29" s="8" t="n">
        <v>0.02980445457286063</v>
      </c>
      <c r="I29" s="9" t="n">
        <v>10692</v>
      </c>
      <c r="J29" s="9" t="n">
        <v>942.4897119341564</v>
      </c>
      <c r="K29" s="20" t="n">
        <v>20</v>
      </c>
    </row>
    <row r="30">
      <c r="A30" s="6" t="inlineStr">
        <is>
          <t>S026</t>
        </is>
      </c>
      <c r="B30" s="6" t="inlineStr">
        <is>
          <t>こむぎ堂 大宮店</t>
        </is>
      </c>
      <c r="C30" s="6" t="inlineStr">
        <is>
          <t>駅ナカ型</t>
        </is>
      </c>
      <c r="D30" s="6" t="inlineStr">
        <is>
          <t>埼玉県</t>
        </is>
      </c>
      <c r="E30" s="6" t="inlineStr">
        <is>
          <t>さいたま市大宮区</t>
        </is>
      </c>
      <c r="F30" s="7" t="n">
        <v>14371440</v>
      </c>
      <c r="G30" s="7" t="n">
        <v>13505710</v>
      </c>
      <c r="H30" s="8" t="n">
        <v>0.06410103578412385</v>
      </c>
      <c r="I30" s="9" t="n">
        <v>24351</v>
      </c>
      <c r="J30" s="9" t="n">
        <v>590.1786374276211</v>
      </c>
      <c r="K30" s="20" t="n">
        <v>10</v>
      </c>
    </row>
    <row r="31">
      <c r="A31" s="6" t="inlineStr">
        <is>
          <t>S027</t>
        </is>
      </c>
      <c r="B31" s="6" t="inlineStr">
        <is>
          <t>こむぎ堂 浦和店</t>
        </is>
      </c>
      <c r="C31" s="6" t="inlineStr">
        <is>
          <t>駅ナカ型</t>
        </is>
      </c>
      <c r="D31" s="6" t="inlineStr">
        <is>
          <t>埼玉県</t>
        </is>
      </c>
      <c r="E31" s="6" t="inlineStr">
        <is>
          <t>さいたま市浦和区</t>
        </is>
      </c>
      <c r="F31" s="7" t="n">
        <v>13932180</v>
      </c>
      <c r="G31" s="7" t="n">
        <v>13319950</v>
      </c>
      <c r="H31" s="8" t="n">
        <v>0.04596338574844494</v>
      </c>
      <c r="I31" s="9" t="n">
        <v>21989</v>
      </c>
      <c r="J31" s="9" t="n">
        <v>633.5977079448816</v>
      </c>
      <c r="K31" s="20" t="n">
        <v>15</v>
      </c>
    </row>
    <row r="32">
      <c r="A32" s="6" t="inlineStr">
        <is>
          <t>S028</t>
        </is>
      </c>
      <c r="B32" s="6" t="inlineStr">
        <is>
          <t>こむぎ堂 所沢店</t>
        </is>
      </c>
      <c r="C32" s="6" t="inlineStr">
        <is>
          <t>駅ナカ型</t>
        </is>
      </c>
      <c r="D32" s="6" t="inlineStr">
        <is>
          <t>埼玉県</t>
        </is>
      </c>
      <c r="E32" s="6" t="inlineStr">
        <is>
          <t>所沢市</t>
        </is>
      </c>
      <c r="F32" s="7" t="n">
        <v>14413000</v>
      </c>
      <c r="G32" s="7" t="n">
        <v>13687720</v>
      </c>
      <c r="H32" s="8" t="n">
        <v>0.05298764147717816</v>
      </c>
      <c r="I32" s="9" t="n">
        <v>24400</v>
      </c>
      <c r="J32" s="9" t="n">
        <v>590.6967213114754</v>
      </c>
      <c r="K32" s="20" t="n">
        <v>14</v>
      </c>
    </row>
    <row r="33">
      <c r="A33" s="6" t="inlineStr">
        <is>
          <t>S029</t>
        </is>
      </c>
      <c r="B33" s="6" t="inlineStr">
        <is>
          <t>こむぎ堂 川口店</t>
        </is>
      </c>
      <c r="C33" s="6" t="inlineStr">
        <is>
          <t>商業施設型</t>
        </is>
      </c>
      <c r="D33" s="6" t="inlineStr">
        <is>
          <t>埼玉県</t>
        </is>
      </c>
      <c r="E33" s="6" t="inlineStr">
        <is>
          <t>川口市</t>
        </is>
      </c>
      <c r="F33" s="7" t="n">
        <v>8755260</v>
      </c>
      <c r="G33" s="7" t="n">
        <v>8087740</v>
      </c>
      <c r="H33" s="8" t="n">
        <v>0.08253479958554544</v>
      </c>
      <c r="I33" s="9" t="n">
        <v>10621</v>
      </c>
      <c r="J33" s="9" t="n">
        <v>824.3348083984558</v>
      </c>
      <c r="K33" s="20" t="n">
        <v>4</v>
      </c>
    </row>
    <row r="34">
      <c r="A34" s="6" t="inlineStr">
        <is>
          <t>S030</t>
        </is>
      </c>
      <c r="B34" s="6" t="inlineStr">
        <is>
          <t>こむぎ堂 越谷レイクタウン店</t>
        </is>
      </c>
      <c r="C34" s="6" t="inlineStr">
        <is>
          <t>商業施設型</t>
        </is>
      </c>
      <c r="D34" s="6" t="inlineStr">
        <is>
          <t>埼玉県</t>
        </is>
      </c>
      <c r="E34" s="6" t="inlineStr">
        <is>
          <t>越谷市</t>
        </is>
      </c>
      <c r="F34" s="7" t="n">
        <v>10809500</v>
      </c>
      <c r="G34" s="7" t="n">
        <v>10777130</v>
      </c>
      <c r="H34" s="8" t="n">
        <v>0.003003582586458498</v>
      </c>
      <c r="I34" s="9" t="n">
        <v>12104</v>
      </c>
      <c r="J34" s="9" t="n">
        <v>893.0518836748182</v>
      </c>
      <c r="K34" s="20" t="n">
        <v>28</v>
      </c>
    </row>
    <row r="35">
      <c r="A35" s="6" t="inlineStr">
        <is>
          <t>S031</t>
        </is>
      </c>
      <c r="B35" s="6" t="inlineStr">
        <is>
          <t>こむぎ堂 川越店</t>
        </is>
      </c>
      <c r="C35" s="6" t="inlineStr">
        <is>
          <t>ロードサイド型</t>
        </is>
      </c>
      <c r="D35" s="6" t="inlineStr">
        <is>
          <t>埼玉県</t>
        </is>
      </c>
      <c r="E35" s="6" t="inlineStr">
        <is>
          <t>川越市</t>
        </is>
      </c>
      <c r="F35" s="7" t="n">
        <v>6503470</v>
      </c>
      <c r="G35" s="7" t="n">
        <v>6288370</v>
      </c>
      <c r="H35" s="8" t="n">
        <v>0.03420600250939443</v>
      </c>
      <c r="I35" s="9" t="n">
        <v>6706</v>
      </c>
      <c r="J35" s="9" t="n">
        <v>969.7986877423203</v>
      </c>
      <c r="K35" s="20" t="n">
        <v>19</v>
      </c>
    </row>
    <row r="36">
      <c r="A36" s="6" t="inlineStr">
        <is>
          <t>S032</t>
        </is>
      </c>
      <c r="B36" s="6" t="inlineStr">
        <is>
          <t>こむぎ堂 春日部店</t>
        </is>
      </c>
      <c r="C36" s="6" t="inlineStr">
        <is>
          <t>ロードサイド型</t>
        </is>
      </c>
      <c r="D36" s="6" t="inlineStr">
        <is>
          <t>埼玉県</t>
        </is>
      </c>
      <c r="E36" s="6" t="inlineStr">
        <is>
          <t>春日部市</t>
        </is>
      </c>
      <c r="F36" s="7" t="n">
        <v>7311380</v>
      </c>
      <c r="G36" s="7" t="n">
        <v>7931450</v>
      </c>
      <c r="H36" s="8" t="n">
        <v>-0.07817864324934276</v>
      </c>
      <c r="I36" s="9" t="n">
        <v>7456</v>
      </c>
      <c r="J36" s="9" t="n">
        <v>980.6035407725321</v>
      </c>
      <c r="K36" s="20" t="n">
        <v>35</v>
      </c>
    </row>
    <row r="37">
      <c r="A37" s="6" t="inlineStr">
        <is>
          <t>S033</t>
        </is>
      </c>
      <c r="B37" s="6" t="inlineStr">
        <is>
          <t>こむぎ堂 熊谷店</t>
        </is>
      </c>
      <c r="C37" s="6" t="inlineStr">
        <is>
          <t>ロードサイド型</t>
        </is>
      </c>
      <c r="D37" s="6" t="inlineStr">
        <is>
          <t>埼玉県</t>
        </is>
      </c>
      <c r="E37" s="6" t="inlineStr">
        <is>
          <t>熊谷市</t>
        </is>
      </c>
      <c r="F37" s="7" t="n">
        <v>7091240</v>
      </c>
      <c r="G37" s="7" t="n">
        <v>7861580</v>
      </c>
      <c r="H37" s="8" t="n">
        <v>-0.09798793626726432</v>
      </c>
      <c r="I37" s="9" t="n">
        <v>8127</v>
      </c>
      <c r="J37" s="9" t="n">
        <v>872.5532176694967</v>
      </c>
      <c r="K37" s="20" t="n">
        <v>37</v>
      </c>
    </row>
    <row r="38">
      <c r="A38" s="6" t="inlineStr">
        <is>
          <t>S034</t>
        </is>
      </c>
      <c r="B38" s="6" t="inlineStr">
        <is>
          <t>こむぎ堂 船橋店</t>
        </is>
      </c>
      <c r="C38" s="6" t="inlineStr">
        <is>
          <t>駅ナカ型</t>
        </is>
      </c>
      <c r="D38" s="6" t="inlineStr">
        <is>
          <t>千葉県</t>
        </is>
      </c>
      <c r="E38" s="6" t="inlineStr">
        <is>
          <t>船橋市</t>
        </is>
      </c>
      <c r="F38" s="7" t="n">
        <v>8733360</v>
      </c>
      <c r="G38" s="7" t="n">
        <v>8438820</v>
      </c>
      <c r="H38" s="8" t="n">
        <v>0.03490298406649273</v>
      </c>
      <c r="I38" s="9" t="n">
        <v>14405</v>
      </c>
      <c r="J38" s="9" t="n">
        <v>606.2728219368275</v>
      </c>
      <c r="K38" s="20" t="n">
        <v>18</v>
      </c>
    </row>
    <row r="39">
      <c r="A39" s="6" t="inlineStr">
        <is>
          <t>S035</t>
        </is>
      </c>
      <c r="B39" s="6" t="inlineStr">
        <is>
          <t>こむぎ堂 千葉店</t>
        </is>
      </c>
      <c r="C39" s="6" t="inlineStr">
        <is>
          <t>駅ナカ型</t>
        </is>
      </c>
      <c r="D39" s="6" t="inlineStr">
        <is>
          <t>千葉県</t>
        </is>
      </c>
      <c r="E39" s="6" t="inlineStr">
        <is>
          <t>千葉市中央区</t>
        </is>
      </c>
      <c r="F39" s="7" t="n">
        <v>8249270</v>
      </c>
      <c r="G39" s="7" t="n">
        <v>7966450</v>
      </c>
      <c r="H39" s="8" t="n">
        <v>0.0355013839288516</v>
      </c>
      <c r="I39" s="9" t="n">
        <v>13828</v>
      </c>
      <c r="J39" s="9" t="n">
        <v>596.5627711888922</v>
      </c>
      <c r="K39" s="20" t="n">
        <v>16</v>
      </c>
    </row>
    <row r="40">
      <c r="A40" s="6" t="inlineStr">
        <is>
          <t>S036</t>
        </is>
      </c>
      <c r="B40" s="6" t="inlineStr">
        <is>
          <t>こむぎ堂 松戸店</t>
        </is>
      </c>
      <c r="C40" s="6" t="inlineStr">
        <is>
          <t>駅ナカ型</t>
        </is>
      </c>
      <c r="D40" s="6" t="inlineStr">
        <is>
          <t>千葉県</t>
        </is>
      </c>
      <c r="E40" s="6" t="inlineStr">
        <is>
          <t>松戸市</t>
        </is>
      </c>
      <c r="F40" s="7" t="n">
        <v>8941770</v>
      </c>
      <c r="G40" s="7" t="n">
        <v>9427640</v>
      </c>
      <c r="H40" s="8" t="n">
        <v>-0.05153675787365664</v>
      </c>
      <c r="I40" s="9" t="n">
        <v>13749</v>
      </c>
      <c r="J40" s="9" t="n">
        <v>650.3578442068514</v>
      </c>
      <c r="K40" s="20" t="n">
        <v>33</v>
      </c>
    </row>
    <row r="41">
      <c r="A41" s="6" t="inlineStr">
        <is>
          <t>S037</t>
        </is>
      </c>
      <c r="B41" s="6" t="inlineStr">
        <is>
          <t>こむぎ堂 海浜幕張店</t>
        </is>
      </c>
      <c r="C41" s="6" t="inlineStr">
        <is>
          <t>商業施設型</t>
        </is>
      </c>
      <c r="D41" s="6" t="inlineStr">
        <is>
          <t>千葉県</t>
        </is>
      </c>
      <c r="E41" s="6" t="inlineStr">
        <is>
          <t>千葉市美浜区</t>
        </is>
      </c>
      <c r="F41" s="7" t="n">
        <v>8151990</v>
      </c>
      <c r="G41" s="7" t="n">
        <v>8012520</v>
      </c>
      <c r="H41" s="8" t="n">
        <v>0.01740650881370653</v>
      </c>
      <c r="I41" s="9" t="n">
        <v>10952</v>
      </c>
      <c r="J41" s="9" t="n">
        <v>744.3380204528853</v>
      </c>
      <c r="K41" s="20" t="n">
        <v>23</v>
      </c>
    </row>
    <row r="42">
      <c r="A42" s="6" t="inlineStr">
        <is>
          <t>S038</t>
        </is>
      </c>
      <c r="B42" s="6" t="inlineStr">
        <is>
          <t>こむぎ堂 柏店</t>
        </is>
      </c>
      <c r="C42" s="6" t="inlineStr">
        <is>
          <t>商業施設型</t>
        </is>
      </c>
      <c r="D42" s="6" t="inlineStr">
        <is>
          <t>千葉県</t>
        </is>
      </c>
      <c r="E42" s="6" t="inlineStr">
        <is>
          <t>柏市</t>
        </is>
      </c>
      <c r="F42" s="7" t="n">
        <v>9135500</v>
      </c>
      <c r="G42" s="7" t="n">
        <v>9007680</v>
      </c>
      <c r="H42" s="8" t="n">
        <v>0.01419011332551778</v>
      </c>
      <c r="I42" s="9" t="n">
        <v>11521</v>
      </c>
      <c r="J42" s="9" t="n">
        <v>792.9433208922836</v>
      </c>
      <c r="K42" s="20" t="n">
        <v>26</v>
      </c>
    </row>
    <row r="43">
      <c r="A43" s="6" t="inlineStr">
        <is>
          <t>S039</t>
        </is>
      </c>
      <c r="B43" s="6" t="inlineStr">
        <is>
          <t>こむぎ堂 市原店</t>
        </is>
      </c>
      <c r="C43" s="6" t="inlineStr">
        <is>
          <t>ロードサイド型</t>
        </is>
      </c>
      <c r="D43" s="6" t="inlineStr">
        <is>
          <t>千葉県</t>
        </is>
      </c>
      <c r="E43" s="6" t="inlineStr">
        <is>
          <t>市原市</t>
        </is>
      </c>
      <c r="F43" s="7" t="n">
        <v>5955140</v>
      </c>
      <c r="G43" s="7" t="n">
        <v>6583870</v>
      </c>
      <c r="H43" s="8" t="n">
        <v>-0.09549550644225968</v>
      </c>
      <c r="I43" s="9" t="n">
        <v>5706</v>
      </c>
      <c r="J43" s="9" t="n">
        <v>1043.66281107606</v>
      </c>
      <c r="K43" s="20" t="n">
        <v>36</v>
      </c>
    </row>
    <row r="44">
      <c r="A44" s="6" t="inlineStr">
        <is>
          <t>S040</t>
        </is>
      </c>
      <c r="B44" s="6" t="inlineStr">
        <is>
          <t>こむぎ堂 千葉ニュータウン店</t>
        </is>
      </c>
      <c r="C44" s="6" t="inlineStr">
        <is>
          <t>ロードサイド型</t>
        </is>
      </c>
      <c r="D44" s="6" t="inlineStr">
        <is>
          <t>千葉県</t>
        </is>
      </c>
      <c r="E44" s="6" t="inlineStr">
        <is>
          <t>印西市</t>
        </is>
      </c>
      <c r="F44" s="7" t="n">
        <v>10227860</v>
      </c>
      <c r="G44" s="7" t="n"/>
      <c r="H44" s="8" t="n"/>
      <c r="I44" s="9" t="n">
        <v>10734</v>
      </c>
      <c r="J44" s="9" t="n">
        <v>952.8470281348984</v>
      </c>
      <c r="K44" s="20" t="inlineStr">
        <is>
          <t>新店</t>
        </is>
      </c>
    </row>
    <row r="46">
      <c r="A46" s="19" t="inlineStr">
        <is>
          <t>※前年比の背景色:赤=減少、白=横ばい、緑=増加(±15%で最も濃くなります)。新店は前年同月の実績がないため比較対象外です。</t>
        </is>
      </c>
    </row>
  </sheetData>
  <autoFilter ref="A4:K44"/>
  <conditionalFormatting sqref="H5:H44">
    <cfRule type="colorScale" priority="1">
      <colorScale>
        <cfvo type="num" val="-0.15"/>
        <cfvo type="num" val="0"/>
        <cfvo type="num" val="0.15"/>
        <color rgb="00F4B6B6"/>
        <color rgb="00FFFFFF"/>
        <color rgb="00A9DDB5"/>
      </colorScale>
    </cfRule>
  </conditionalFormatting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1" customWidth="1" min="4" max="4"/>
    <col width="11" customWidth="1" min="5" max="5"/>
    <col width="14" customWidth="1" min="6" max="6"/>
    <col width="11" customWidth="1" min="7" max="7"/>
    <col width="15" customWidth="1" min="8" max="8"/>
  </cols>
  <sheetData>
    <row r="1" ht="28" customHeight="1">
      <c r="A1" s="1" t="inlineStr">
        <is>
          <t>日別の売上推移 2026年9月</t>
        </is>
      </c>
    </row>
    <row r="2">
      <c r="A2" s="2" t="inlineStr">
        <is>
          <t>こむぎ堂ホールディングス株式会社(架空)|対象期間 2026/09/01〜2026/09/30(前年同月 2025/09/01〜2025/09/30)|作成日時 2026/10/09 22:58|※ダミーデータによるデモ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30" customHeight="1">
      <c r="A4" s="5" t="inlineStr">
        <is>
          <t>日付</t>
        </is>
      </c>
      <c r="B4" s="5" t="inlineStr">
        <is>
          <t>曜日</t>
        </is>
      </c>
      <c r="C4" s="5" t="inlineStr">
        <is>
          <t>売上(円)</t>
        </is>
      </c>
      <c r="D4" s="5" t="inlineStr">
        <is>
          <t>客数(人)</t>
        </is>
      </c>
      <c r="E4" s="5" t="inlineStr">
        <is>
          <t>客単価(円)</t>
        </is>
      </c>
      <c r="F4" s="5" t="inlineStr">
        <is>
          <t>前年同日(円)</t>
        </is>
      </c>
      <c r="G4" s="5" t="inlineStr">
        <is>
          <t>前年同日比</t>
        </is>
      </c>
      <c r="H4" s="5" t="inlineStr">
        <is>
          <t>前年同曜日(円)</t>
        </is>
      </c>
    </row>
    <row r="5">
      <c r="A5" s="21" t="n">
        <v>46266</v>
      </c>
      <c r="B5" s="22" t="inlineStr">
        <is>
          <t>火</t>
        </is>
      </c>
      <c r="C5" s="9" t="n">
        <v>12206500</v>
      </c>
      <c r="D5" s="9" t="n">
        <v>17326</v>
      </c>
      <c r="E5" s="9" t="n">
        <v>704.5192196698604</v>
      </c>
      <c r="F5" s="9" t="n">
        <v>11284120</v>
      </c>
      <c r="G5" s="8" t="n">
        <v>0.08174142068677037</v>
      </c>
      <c r="H5" s="9" t="n">
        <v>11358370</v>
      </c>
    </row>
    <row r="6">
      <c r="A6" s="21" t="n">
        <v>46267</v>
      </c>
      <c r="B6" s="22" t="inlineStr">
        <is>
          <t>水</t>
        </is>
      </c>
      <c r="C6" s="9" t="n">
        <v>12592440</v>
      </c>
      <c r="D6" s="9" t="n">
        <v>17956</v>
      </c>
      <c r="E6" s="9" t="n">
        <v>701.2942748941858</v>
      </c>
      <c r="F6" s="9" t="n">
        <v>11358370</v>
      </c>
      <c r="G6" s="8" t="n">
        <v>0.108648512066432</v>
      </c>
      <c r="H6" s="9" t="n">
        <v>11653690</v>
      </c>
    </row>
    <row r="7">
      <c r="A7" s="21" t="n">
        <v>46268</v>
      </c>
      <c r="B7" s="22" t="inlineStr">
        <is>
          <t>木</t>
        </is>
      </c>
      <c r="C7" s="9" t="n">
        <v>12393110</v>
      </c>
      <c r="D7" s="9" t="n">
        <v>17445</v>
      </c>
      <c r="E7" s="9" t="n">
        <v>710.4104327887646</v>
      </c>
      <c r="F7" s="9" t="n">
        <v>11653690</v>
      </c>
      <c r="G7" s="8" t="n">
        <v>0.06344943103858092</v>
      </c>
      <c r="H7" s="9" t="n">
        <v>11399800</v>
      </c>
    </row>
    <row r="8">
      <c r="A8" s="21" t="n">
        <v>46269</v>
      </c>
      <c r="B8" s="22" t="inlineStr">
        <is>
          <t>金</t>
        </is>
      </c>
      <c r="C8" s="9" t="n">
        <v>13154470</v>
      </c>
      <c r="D8" s="9" t="n">
        <v>18414</v>
      </c>
      <c r="E8" s="9" t="n">
        <v>714.37330292169</v>
      </c>
      <c r="F8" s="9" t="n">
        <v>11399800</v>
      </c>
      <c r="G8" s="8" t="n">
        <v>0.1539211214231828</v>
      </c>
      <c r="H8" s="9" t="n">
        <v>11890360</v>
      </c>
    </row>
    <row r="9">
      <c r="A9" s="23" t="n">
        <v>46270</v>
      </c>
      <c r="B9" s="24" t="inlineStr">
        <is>
          <t>土</t>
        </is>
      </c>
      <c r="C9" s="25" t="n">
        <v>13823860</v>
      </c>
      <c r="D9" s="25" t="n">
        <v>18496</v>
      </c>
      <c r="E9" s="25" t="n">
        <v>747.3972750865051</v>
      </c>
      <c r="F9" s="25" t="n">
        <v>11890360</v>
      </c>
      <c r="G9" s="26" t="n">
        <v>0.1626107199445601</v>
      </c>
      <c r="H9" s="25" t="n">
        <v>12157380</v>
      </c>
    </row>
    <row r="10">
      <c r="A10" s="23" t="n">
        <v>46271</v>
      </c>
      <c r="B10" s="24" t="inlineStr">
        <is>
          <t>日</t>
        </is>
      </c>
      <c r="C10" s="25" t="n">
        <v>13452990</v>
      </c>
      <c r="D10" s="25" t="n">
        <v>17687</v>
      </c>
      <c r="E10" s="25" t="n">
        <v>760.614575677051</v>
      </c>
      <c r="F10" s="25" t="n">
        <v>12157380</v>
      </c>
      <c r="G10" s="26" t="n">
        <v>0.1065698365930818</v>
      </c>
      <c r="H10" s="25" t="n">
        <v>11974470</v>
      </c>
    </row>
    <row r="11">
      <c r="A11" s="21" t="n">
        <v>46272</v>
      </c>
      <c r="B11" s="22" t="inlineStr">
        <is>
          <t>月</t>
        </is>
      </c>
      <c r="C11" s="9" t="n">
        <v>12817890</v>
      </c>
      <c r="D11" s="9" t="n">
        <v>18150</v>
      </c>
      <c r="E11" s="9" t="n">
        <v>706.2198347107438</v>
      </c>
      <c r="F11" s="9" t="n">
        <v>11974470</v>
      </c>
      <c r="G11" s="8" t="n">
        <v>0.07043485014368067</v>
      </c>
      <c r="H11" s="9" t="n">
        <v>11482920</v>
      </c>
    </row>
    <row r="12">
      <c r="A12" s="21" t="n">
        <v>46273</v>
      </c>
      <c r="B12" s="22" t="inlineStr">
        <is>
          <t>火</t>
        </is>
      </c>
      <c r="C12" s="9" t="n">
        <v>12087700</v>
      </c>
      <c r="D12" s="9" t="n">
        <v>17235</v>
      </c>
      <c r="E12" s="9" t="n">
        <v>701.3460980562809</v>
      </c>
      <c r="F12" s="9" t="n">
        <v>11482920</v>
      </c>
      <c r="G12" s="8" t="n">
        <v>0.05266778833258434</v>
      </c>
      <c r="H12" s="9" t="n">
        <v>11265960</v>
      </c>
    </row>
    <row r="13">
      <c r="A13" s="21" t="n">
        <v>46274</v>
      </c>
      <c r="B13" s="22" t="inlineStr">
        <is>
          <t>水</t>
        </is>
      </c>
      <c r="C13" s="9" t="n">
        <v>12660120</v>
      </c>
      <c r="D13" s="9" t="n">
        <v>17921</v>
      </c>
      <c r="E13" s="9" t="n">
        <v>706.4404888120083</v>
      </c>
      <c r="F13" s="9" t="n">
        <v>11265960</v>
      </c>
      <c r="G13" s="8" t="n">
        <v>0.1237497736544422</v>
      </c>
      <c r="H13" s="9" t="n">
        <v>11460280</v>
      </c>
    </row>
    <row r="14">
      <c r="A14" s="21" t="n">
        <v>46275</v>
      </c>
      <c r="B14" s="22" t="inlineStr">
        <is>
          <t>木</t>
        </is>
      </c>
      <c r="C14" s="9" t="n">
        <v>12393840</v>
      </c>
      <c r="D14" s="9" t="n">
        <v>17538</v>
      </c>
      <c r="E14" s="9" t="n">
        <v>706.6849127608622</v>
      </c>
      <c r="F14" s="9" t="n">
        <v>11460280</v>
      </c>
      <c r="G14" s="8" t="n">
        <v>0.08146048787638693</v>
      </c>
      <c r="H14" s="9" t="n">
        <v>11370420</v>
      </c>
    </row>
    <row r="15">
      <c r="A15" s="21" t="n">
        <v>46276</v>
      </c>
      <c r="B15" s="22" t="inlineStr">
        <is>
          <t>金</t>
        </is>
      </c>
      <c r="C15" s="9" t="n">
        <v>13098010</v>
      </c>
      <c r="D15" s="9" t="n">
        <v>18503</v>
      </c>
      <c r="E15" s="9" t="n">
        <v>707.8857482570394</v>
      </c>
      <c r="F15" s="9" t="n">
        <v>11370420</v>
      </c>
      <c r="G15" s="8" t="n">
        <v>0.1519372195574129</v>
      </c>
      <c r="H15" s="9" t="n">
        <v>11910340</v>
      </c>
    </row>
    <row r="16">
      <c r="A16" s="23" t="n">
        <v>46277</v>
      </c>
      <c r="B16" s="24" t="inlineStr">
        <is>
          <t>土</t>
        </is>
      </c>
      <c r="C16" s="25" t="n">
        <v>13604810</v>
      </c>
      <c r="D16" s="25" t="n">
        <v>18194</v>
      </c>
      <c r="E16" s="25" t="n">
        <v>747.7635484225569</v>
      </c>
      <c r="F16" s="25" t="n">
        <v>11910340</v>
      </c>
      <c r="G16" s="26" t="n">
        <v>0.142268818522393</v>
      </c>
      <c r="H16" s="25" t="n">
        <v>12155680</v>
      </c>
    </row>
    <row r="17">
      <c r="A17" s="23" t="n">
        <v>46278</v>
      </c>
      <c r="B17" s="24" t="inlineStr">
        <is>
          <t>日</t>
        </is>
      </c>
      <c r="C17" s="25" t="n">
        <v>13611530</v>
      </c>
      <c r="D17" s="25" t="n">
        <v>18031</v>
      </c>
      <c r="E17" s="25" t="n">
        <v>754.8960124230492</v>
      </c>
      <c r="F17" s="25" t="n">
        <v>12155680</v>
      </c>
      <c r="G17" s="26" t="n">
        <v>0.1197670554012609</v>
      </c>
      <c r="H17" s="25" t="n">
        <v>12008250</v>
      </c>
    </row>
    <row r="18">
      <c r="A18" s="21" t="n">
        <v>46279</v>
      </c>
      <c r="B18" s="22" t="inlineStr">
        <is>
          <t>月</t>
        </is>
      </c>
      <c r="C18" s="9" t="n">
        <v>12762850</v>
      </c>
      <c r="D18" s="9" t="n">
        <v>18033</v>
      </c>
      <c r="E18" s="9" t="n">
        <v>707.749681140132</v>
      </c>
      <c r="F18" s="9" t="n">
        <v>12008250</v>
      </c>
      <c r="G18" s="8" t="n">
        <v>0.06284013074344719</v>
      </c>
      <c r="H18" s="9" t="n">
        <v>11364880</v>
      </c>
    </row>
    <row r="19">
      <c r="A19" s="21" t="n">
        <v>46280</v>
      </c>
      <c r="B19" s="22" t="inlineStr">
        <is>
          <t>火</t>
        </is>
      </c>
      <c r="C19" s="9" t="n">
        <v>12543920</v>
      </c>
      <c r="D19" s="9" t="n">
        <v>17796</v>
      </c>
      <c r="E19" s="9" t="n">
        <v>704.8730051697011</v>
      </c>
      <c r="F19" s="9" t="n">
        <v>11364880</v>
      </c>
      <c r="G19" s="8" t="n">
        <v>0.1037441662384468</v>
      </c>
      <c r="H19" s="9" t="n">
        <v>11077520</v>
      </c>
    </row>
    <row r="20">
      <c r="A20" s="21" t="n">
        <v>46281</v>
      </c>
      <c r="B20" s="22" t="inlineStr">
        <is>
          <t>水</t>
        </is>
      </c>
      <c r="C20" s="9" t="n">
        <v>13221130</v>
      </c>
      <c r="D20" s="9" t="n">
        <v>18736</v>
      </c>
      <c r="E20" s="9" t="n">
        <v>705.6538215200683</v>
      </c>
      <c r="F20" s="9" t="n">
        <v>11077520</v>
      </c>
      <c r="G20" s="8" t="n">
        <v>0.1935099191876881</v>
      </c>
      <c r="H20" s="9" t="n">
        <v>10995170</v>
      </c>
    </row>
    <row r="21">
      <c r="A21" s="21" t="n">
        <v>46282</v>
      </c>
      <c r="B21" s="22" t="inlineStr">
        <is>
          <t>木</t>
        </is>
      </c>
      <c r="C21" s="9" t="n">
        <v>12550900</v>
      </c>
      <c r="D21" s="9" t="n">
        <v>17819</v>
      </c>
      <c r="E21" s="9" t="n">
        <v>704.3549020708233</v>
      </c>
      <c r="F21" s="9" t="n">
        <v>10995170</v>
      </c>
      <c r="G21" s="8" t="n">
        <v>0.141492127907072</v>
      </c>
      <c r="H21" s="9" t="n">
        <v>11551090</v>
      </c>
    </row>
    <row r="22">
      <c r="A22" s="21" t="n">
        <v>46283</v>
      </c>
      <c r="B22" s="22" t="inlineStr">
        <is>
          <t>金</t>
        </is>
      </c>
      <c r="C22" s="9" t="n">
        <v>13033390</v>
      </c>
      <c r="D22" s="9" t="n">
        <v>18183</v>
      </c>
      <c r="E22" s="9" t="n">
        <v>716.7898586591872</v>
      </c>
      <c r="F22" s="9" t="n">
        <v>11551090</v>
      </c>
      <c r="G22" s="8" t="n">
        <v>0.1283255519608972</v>
      </c>
      <c r="H22" s="9" t="n">
        <v>11855830</v>
      </c>
    </row>
    <row r="23">
      <c r="A23" s="23" t="n">
        <v>46284</v>
      </c>
      <c r="B23" s="24" t="inlineStr">
        <is>
          <t>土</t>
        </is>
      </c>
      <c r="C23" s="25" t="n">
        <v>13585370</v>
      </c>
      <c r="D23" s="25" t="n">
        <v>18159</v>
      </c>
      <c r="E23" s="25" t="n">
        <v>748.1342584944105</v>
      </c>
      <c r="F23" s="25" t="n">
        <v>11855830</v>
      </c>
      <c r="G23" s="26" t="n">
        <v>0.1458809716401128</v>
      </c>
      <c r="H23" s="25" t="n">
        <v>12078560</v>
      </c>
    </row>
    <row r="24">
      <c r="A24" s="23" t="n">
        <v>46285</v>
      </c>
      <c r="B24" s="24" t="inlineStr">
        <is>
          <t>日</t>
        </is>
      </c>
      <c r="C24" s="25" t="n">
        <v>13659240</v>
      </c>
      <c r="D24" s="25" t="n">
        <v>18141</v>
      </c>
      <c r="E24" s="25" t="n">
        <v>752.9485695386142</v>
      </c>
      <c r="F24" s="25" t="n">
        <v>12078560</v>
      </c>
      <c r="G24" s="26" t="n">
        <v>0.1308665933687458</v>
      </c>
      <c r="H24" s="25" t="n">
        <v>12205510</v>
      </c>
    </row>
    <row r="25">
      <c r="A25" s="21" t="n">
        <v>46286</v>
      </c>
      <c r="B25" s="22" t="inlineStr">
        <is>
          <t>月</t>
        </is>
      </c>
      <c r="C25" s="9" t="n">
        <v>12725010</v>
      </c>
      <c r="D25" s="9" t="n">
        <v>18061</v>
      </c>
      <c r="E25" s="9" t="n">
        <v>704.5573334809811</v>
      </c>
      <c r="F25" s="9" t="n">
        <v>12205510</v>
      </c>
      <c r="G25" s="8" t="n">
        <v>0.04256274420323281</v>
      </c>
      <c r="H25" s="9" t="n">
        <v>11367840</v>
      </c>
    </row>
    <row r="26">
      <c r="A26" s="21" t="n">
        <v>46287</v>
      </c>
      <c r="B26" s="22" t="inlineStr">
        <is>
          <t>火</t>
        </is>
      </c>
      <c r="C26" s="9" t="n">
        <v>12465770</v>
      </c>
      <c r="D26" s="9" t="n">
        <v>17673</v>
      </c>
      <c r="E26" s="9" t="n">
        <v>705.3567588977536</v>
      </c>
      <c r="F26" s="9" t="n">
        <v>11367840</v>
      </c>
      <c r="G26" s="8" t="n">
        <v>0.09658211234500125</v>
      </c>
      <c r="H26" s="9" t="n">
        <v>11148280</v>
      </c>
    </row>
    <row r="27">
      <c r="A27" s="21" t="n">
        <v>46288</v>
      </c>
      <c r="B27" s="22" t="inlineStr">
        <is>
          <t>水</t>
        </is>
      </c>
      <c r="C27" s="9" t="n">
        <v>12675330</v>
      </c>
      <c r="D27" s="9" t="n">
        <v>18064</v>
      </c>
      <c r="E27" s="9" t="n">
        <v>701.6901018600531</v>
      </c>
      <c r="F27" s="9" t="n">
        <v>11148280</v>
      </c>
      <c r="G27" s="8" t="n">
        <v>0.1369762869249787</v>
      </c>
      <c r="H27" s="9" t="n">
        <v>11470340</v>
      </c>
    </row>
    <row r="28">
      <c r="A28" s="21" t="n">
        <v>46289</v>
      </c>
      <c r="B28" s="22" t="inlineStr">
        <is>
          <t>木</t>
        </is>
      </c>
      <c r="C28" s="9" t="n">
        <v>12859050</v>
      </c>
      <c r="D28" s="9" t="n">
        <v>18092</v>
      </c>
      <c r="E28" s="9" t="n">
        <v>710.7588989608666</v>
      </c>
      <c r="F28" s="9" t="n">
        <v>11470340</v>
      </c>
      <c r="G28" s="8" t="n">
        <v>0.1210696457123328</v>
      </c>
      <c r="H28" s="9" t="n">
        <v>11314810</v>
      </c>
    </row>
    <row r="29">
      <c r="A29" s="21" t="n">
        <v>46290</v>
      </c>
      <c r="B29" s="22" t="inlineStr">
        <is>
          <t>金</t>
        </is>
      </c>
      <c r="C29" s="9" t="n">
        <v>13355280</v>
      </c>
      <c r="D29" s="9" t="n">
        <v>18849</v>
      </c>
      <c r="E29" s="9" t="n">
        <v>708.540506127646</v>
      </c>
      <c r="F29" s="9" t="n">
        <v>11314810</v>
      </c>
      <c r="G29" s="8" t="n">
        <v>0.1803362142183562</v>
      </c>
      <c r="H29" s="9" t="n">
        <v>11929340</v>
      </c>
    </row>
    <row r="30">
      <c r="A30" s="23" t="n">
        <v>46291</v>
      </c>
      <c r="B30" s="24" t="inlineStr">
        <is>
          <t>土</t>
        </is>
      </c>
      <c r="C30" s="25" t="n">
        <v>13770360</v>
      </c>
      <c r="D30" s="25" t="n">
        <v>18423</v>
      </c>
      <c r="E30" s="25" t="n">
        <v>747.4548119198828</v>
      </c>
      <c r="F30" s="25" t="n">
        <v>11929340</v>
      </c>
      <c r="G30" s="26" t="n">
        <v>0.1543270625198041</v>
      </c>
      <c r="H30" s="25" t="n">
        <v>12339430</v>
      </c>
    </row>
    <row r="31">
      <c r="A31" s="23" t="n">
        <v>46292</v>
      </c>
      <c r="B31" s="24" t="inlineStr">
        <is>
          <t>日</t>
        </is>
      </c>
      <c r="C31" s="25" t="n">
        <v>13159380</v>
      </c>
      <c r="D31" s="25" t="n">
        <v>17416</v>
      </c>
      <c r="E31" s="25" t="n">
        <v>755.5914101975195</v>
      </c>
      <c r="F31" s="25" t="n">
        <v>12339430</v>
      </c>
      <c r="G31" s="26" t="n">
        <v>0.06644958478633134</v>
      </c>
      <c r="H31" s="25" t="n">
        <v>12313400</v>
      </c>
    </row>
    <row r="32">
      <c r="A32" s="21" t="n">
        <v>46293</v>
      </c>
      <c r="B32" s="22" t="inlineStr">
        <is>
          <t>月</t>
        </is>
      </c>
      <c r="C32" s="9" t="n">
        <v>12342850</v>
      </c>
      <c r="D32" s="9" t="n">
        <v>17431</v>
      </c>
      <c r="E32" s="9" t="n">
        <v>708.097642131834</v>
      </c>
      <c r="F32" s="9" t="n">
        <v>12313400</v>
      </c>
      <c r="G32" s="8" t="n">
        <v>0.00239170334757266</v>
      </c>
      <c r="H32" s="9" t="n">
        <v>11466390</v>
      </c>
    </row>
    <row r="33">
      <c r="A33" s="21" t="n">
        <v>46294</v>
      </c>
      <c r="B33" s="22" t="inlineStr">
        <is>
          <t>火</t>
        </is>
      </c>
      <c r="C33" s="9" t="n">
        <v>12373140</v>
      </c>
      <c r="D33" s="9" t="n">
        <v>17570</v>
      </c>
      <c r="E33" s="9" t="n">
        <v>704.2196926579396</v>
      </c>
      <c r="F33" s="9" t="n">
        <v>11466390</v>
      </c>
      <c r="G33" s="8" t="n">
        <v>0.07907894289309891</v>
      </c>
      <c r="H33" s="9" t="n">
        <v>11209090</v>
      </c>
    </row>
    <row r="34">
      <c r="A34" s="21" t="n">
        <v>46295</v>
      </c>
      <c r="B34" s="22" t="inlineStr">
        <is>
          <t>水</t>
        </is>
      </c>
      <c r="C34" s="9" t="n">
        <v>12638770</v>
      </c>
      <c r="D34" s="9" t="n">
        <v>17771</v>
      </c>
      <c r="E34" s="9" t="n">
        <v>711.2019582465815</v>
      </c>
      <c r="F34" s="9" t="n">
        <v>11209090</v>
      </c>
      <c r="G34" s="8" t="n">
        <v>0.1275464823638672</v>
      </c>
      <c r="H34" s="9" t="n">
        <v>11854190</v>
      </c>
    </row>
  </sheetData>
  <printOptions horizontalCentered="1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2026-10-09T13:58:15Z</dcterms:created>
  <dcterms:modified xsi:type="dcterms:W3CDTF">2026-10-09T13:58:15Z</dcterms:modified>
</cp:coreProperties>
</file>